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Modelo y Color" sheetId="1" state="visible" r:id="rId1"/>
    <sheet xmlns:r="http://schemas.openxmlformats.org/officeDocument/2006/relationships" name="Detalle por OP" sheetId="2" state="visible" r:id="rId2"/>
    <sheet xmlns:r="http://schemas.openxmlformats.org/officeDocument/2006/relationships" name="Consolidado por 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0F2FE"/>
      <sz val="9.5"/>
    </font>
    <font>
      <name val="Segoe UI"/>
      <b val="1"/>
      <color rgb="0064748B"/>
      <sz val="9"/>
    </font>
    <font>
      <name val="Segoe UI"/>
      <b val="1"/>
      <color rgb="000F172A"/>
      <sz val="13"/>
    </font>
    <font>
      <name val="Segoe UI"/>
      <b val="1"/>
      <color rgb="00B91C1C"/>
      <sz val="13"/>
    </font>
    <font>
      <name val="Segoe UI"/>
      <b val="1"/>
      <color rgb="000F766E"/>
      <sz val="13"/>
    </font>
    <font>
      <name val="Segoe UI"/>
      <b val="1"/>
      <color rgb="00FFFFFF"/>
      <sz val="10"/>
    </font>
    <font>
      <name val="Segoe UI"/>
      <b val="1"/>
      <color rgb="001E293B"/>
      <sz val="9.5"/>
    </font>
    <font>
      <name val="Segoe UI"/>
      <b val="1"/>
      <color rgb="0015803D"/>
      <sz val="9.5"/>
    </font>
    <font>
      <name val="Segoe UI"/>
      <color rgb="001E293B"/>
      <sz val="9.5"/>
    </font>
    <font>
      <name val="Segoe UI"/>
      <b val="1"/>
      <color rgb="000F172A"/>
      <sz val="10"/>
    </font>
    <font>
      <name val="Segoe UI"/>
      <b val="1"/>
      <color rgb="00B91C1C"/>
      <sz val="10"/>
    </font>
    <font>
      <name val="Segoe UI"/>
      <b val="1"/>
      <color rgb="000F766E"/>
      <sz val="10"/>
    </font>
    <font>
      <name val="Segoe UI"/>
      <color rgb="00B45309"/>
      <sz val="9.5"/>
    </font>
  </fonts>
  <fills count="8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115E59"/>
        <bgColor rgb="00115E59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0D9488"/>
        <bgColor rgb="000D9488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94A3B8"/>
      </top>
      <bottom style="medium">
        <color rgb="0094A3B8"/>
      </bottom>
    </border>
    <border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3" fontId="10" fillId="3" borderId="1" applyAlignment="1" pivotButton="0" quotePrefix="0" xfId="0">
      <alignment horizontal="right" vertical="center"/>
    </xf>
    <xf numFmtId="0" fontId="11" fillId="6" borderId="3" applyAlignment="1" pivotButton="0" quotePrefix="0" xfId="0">
      <alignment horizontal="center" vertical="center"/>
    </xf>
    <xf numFmtId="0" fontId="0" fillId="6" borderId="3" pivotButton="0" quotePrefix="0" xfId="0"/>
    <xf numFmtId="3" fontId="11" fillId="6" borderId="3" applyAlignment="1" pivotButton="0" quotePrefix="0" xfId="0">
      <alignment horizontal="right" vertical="center"/>
    </xf>
    <xf numFmtId="3" fontId="12" fillId="6" borderId="3" applyAlignment="1" pivotButton="0" quotePrefix="0" xfId="0">
      <alignment horizontal="right" vertical="center"/>
    </xf>
    <xf numFmtId="164" fontId="13" fillId="6" borderId="3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11" fillId="6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8" customWidth="1" min="4" max="4"/>
    <col width="20" customWidth="1" min="5" max="5"/>
    <col width="15" customWidth="1" min="6" max="6"/>
    <col width="14" customWidth="1" min="7" max="7"/>
  </cols>
  <sheetData>
    <row r="1" ht="32" customHeight="1">
      <c r="A1" s="1" t="inlineStr">
        <is>
          <t>JOLI JOLI · REPORTE DE CONTROL DE EMPAQUE (PEDIDO VS. ENTREGADO)</t>
        </is>
      </c>
    </row>
    <row r="2" ht="20" customHeight="1">
      <c r="A2" s="2" t="inlineStr">
        <is>
          <t>Órdenes 3354 en adelante con fecha de pedido asignada · 95 agrupaciones (392 órdenes de producción) · Generado el 30/09/2026 14:46</t>
        </is>
      </c>
    </row>
    <row r="4" ht="18" customHeight="1">
      <c r="A4" s="3" t="inlineStr">
        <is>
          <t>Total Pares Pedidos</t>
        </is>
      </c>
      <c r="B4" s="3" t="inlineStr">
        <is>
          <t>Total Pares Entregados</t>
        </is>
      </c>
      <c r="C4" s="3" t="inlineStr">
        <is>
          <t>Saldo Pendiente</t>
        </is>
      </c>
      <c r="D4" s="3" t="inlineStr">
        <is>
          <t>% Avance Global</t>
        </is>
      </c>
    </row>
    <row r="5" ht="24" customHeight="1">
      <c r="A5" s="4" t="n">
        <v>4697</v>
      </c>
      <c r="B5" s="4" t="n">
        <v>2451</v>
      </c>
      <c r="C5" s="5" t="n">
        <v>2246</v>
      </c>
      <c r="D5" s="6" t="n">
        <v>0.5218224398552267</v>
      </c>
    </row>
    <row r="7" ht="26" customHeight="1">
      <c r="A7" s="7" t="inlineStr">
        <is>
          <t>Fecha pedido</t>
        </is>
      </c>
      <c r="B7" s="8" t="inlineStr">
        <is>
          <t>Modelo</t>
        </is>
      </c>
      <c r="C7" s="8" t="inlineStr">
        <is>
          <t>Color</t>
        </is>
      </c>
      <c r="D7" s="9" t="inlineStr">
        <is>
          <t>Cantidad pedida</t>
        </is>
      </c>
      <c r="E7" s="9" t="inlineStr">
        <is>
          <t>Cantidad entregada</t>
        </is>
      </c>
      <c r="F7" s="9" t="inlineStr">
        <is>
          <t>Diferencia</t>
        </is>
      </c>
      <c r="G7" s="9" t="inlineStr">
        <is>
          <t>% Avance</t>
        </is>
      </c>
    </row>
    <row r="8" ht="20" customHeight="1">
      <c r="A8" s="10" t="inlineStr">
        <is>
          <t>10/07/2026</t>
        </is>
      </c>
      <c r="B8" s="11" t="inlineStr">
        <is>
          <t>ABRIL</t>
        </is>
      </c>
      <c r="C8" s="12" t="inlineStr">
        <is>
          <t>NATURAL</t>
        </is>
      </c>
      <c r="D8" s="13" t="n">
        <v>48</v>
      </c>
      <c r="E8" s="14" t="n">
        <v>53</v>
      </c>
      <c r="F8" s="13">
        <f>D8-E8</f>
        <v/>
      </c>
      <c r="G8" s="15">
        <f>IF(D8&gt;0, E8/D8, 0)</f>
        <v/>
      </c>
    </row>
    <row r="9" ht="20" customHeight="1">
      <c r="A9" s="16" t="inlineStr">
        <is>
          <t>10/07/2026</t>
        </is>
      </c>
      <c r="B9" s="17" t="inlineStr">
        <is>
          <t>ABRIL</t>
        </is>
      </c>
      <c r="C9" s="18" t="inlineStr">
        <is>
          <t>NEGRO</t>
        </is>
      </c>
      <c r="D9" s="19" t="n">
        <v>72</v>
      </c>
      <c r="E9" s="20" t="n">
        <v>40</v>
      </c>
      <c r="F9" s="19">
        <f>D9-E9</f>
        <v/>
      </c>
      <c r="G9" s="21">
        <f>IF(D9&gt;0, E9/D9, 0)</f>
        <v/>
      </c>
    </row>
    <row r="10" ht="20" customHeight="1">
      <c r="A10" s="10" t="inlineStr">
        <is>
          <t>10/07/2026</t>
        </is>
      </c>
      <c r="B10" s="11" t="inlineStr">
        <is>
          <t>ABRIL</t>
        </is>
      </c>
      <c r="C10" s="12" t="inlineStr">
        <is>
          <t>VINO</t>
        </is>
      </c>
      <c r="D10" s="13" t="n">
        <v>60</v>
      </c>
      <c r="E10" s="14" t="n">
        <v>22</v>
      </c>
      <c r="F10" s="13">
        <f>D10-E10</f>
        <v/>
      </c>
      <c r="G10" s="21">
        <f>IF(D10&gt;0, E10/D10, 0)</f>
        <v/>
      </c>
    </row>
    <row r="11" ht="20" customHeight="1">
      <c r="A11" s="16" t="inlineStr">
        <is>
          <t>10/07/2026</t>
        </is>
      </c>
      <c r="B11" s="17" t="inlineStr">
        <is>
          <t>ANTONELLA</t>
        </is>
      </c>
      <c r="C11" s="18" t="inlineStr">
        <is>
          <t>BLANCO</t>
        </is>
      </c>
      <c r="D11" s="19" t="n">
        <v>48</v>
      </c>
      <c r="E11" s="20" t="n">
        <v>47</v>
      </c>
      <c r="F11" s="19">
        <f>D11-E11</f>
        <v/>
      </c>
      <c r="G11" s="21">
        <f>IF(D11&gt;0, E11/D11, 0)</f>
        <v/>
      </c>
    </row>
    <row r="12" ht="20" customHeight="1">
      <c r="A12" s="10" t="inlineStr">
        <is>
          <t>10/07/2026</t>
        </is>
      </c>
      <c r="B12" s="11" t="inlineStr">
        <is>
          <t>ANTONELLA</t>
        </is>
      </c>
      <c r="C12" s="12" t="inlineStr">
        <is>
          <t>GRIS</t>
        </is>
      </c>
      <c r="D12" s="13" t="n">
        <v>60</v>
      </c>
      <c r="E12" s="14" t="n">
        <v>53</v>
      </c>
      <c r="F12" s="13">
        <f>D12-E12</f>
        <v/>
      </c>
      <c r="G12" s="21">
        <f>IF(D12&gt;0, E12/D12, 0)</f>
        <v/>
      </c>
    </row>
    <row r="13" ht="20" customHeight="1">
      <c r="A13" s="16" t="inlineStr">
        <is>
          <t>10/07/2026</t>
        </is>
      </c>
      <c r="B13" s="17" t="inlineStr">
        <is>
          <t>ANTONELLA</t>
        </is>
      </c>
      <c r="C13" s="18" t="inlineStr">
        <is>
          <t>NEGRO</t>
        </is>
      </c>
      <c r="D13" s="19" t="n">
        <v>72</v>
      </c>
      <c r="E13" s="20" t="n">
        <v>57</v>
      </c>
      <c r="F13" s="19">
        <f>D13-E13</f>
        <v/>
      </c>
      <c r="G13" s="21">
        <f>IF(D13&gt;0, E13/D13, 0)</f>
        <v/>
      </c>
    </row>
    <row r="14" ht="20" customHeight="1">
      <c r="A14" s="10" t="inlineStr">
        <is>
          <t>10/07/2026</t>
        </is>
      </c>
      <c r="B14" s="11" t="inlineStr">
        <is>
          <t>CANDELA</t>
        </is>
      </c>
      <c r="C14" s="12" t="inlineStr">
        <is>
          <t>ACERO</t>
        </is>
      </c>
      <c r="D14" s="13" t="n">
        <v>48</v>
      </c>
      <c r="E14" s="14" t="n">
        <v>46</v>
      </c>
      <c r="F14" s="13">
        <f>D14-E14</f>
        <v/>
      </c>
      <c r="G14" s="21">
        <f>IF(D14&gt;0, E14/D14, 0)</f>
        <v/>
      </c>
    </row>
    <row r="15" ht="20" customHeight="1">
      <c r="A15" s="16" t="inlineStr">
        <is>
          <t>10/07/2026</t>
        </is>
      </c>
      <c r="B15" s="17" t="inlineStr">
        <is>
          <t>CANDELA</t>
        </is>
      </c>
      <c r="C15" s="18" t="inlineStr">
        <is>
          <t>MARRON</t>
        </is>
      </c>
      <c r="D15" s="19" t="n">
        <v>60</v>
      </c>
      <c r="E15" s="20" t="n">
        <v>51</v>
      </c>
      <c r="F15" s="19">
        <f>D15-E15</f>
        <v/>
      </c>
      <c r="G15" s="21">
        <f>IF(D15&gt;0, E15/D15, 0)</f>
        <v/>
      </c>
    </row>
    <row r="16" ht="20" customHeight="1">
      <c r="A16" s="10" t="inlineStr">
        <is>
          <t>10/07/2026</t>
        </is>
      </c>
      <c r="B16" s="11" t="inlineStr">
        <is>
          <t>CANDELA</t>
        </is>
      </c>
      <c r="C16" s="12" t="inlineStr">
        <is>
          <t>NEGRO</t>
        </is>
      </c>
      <c r="D16" s="13" t="n">
        <v>72</v>
      </c>
      <c r="E16" s="14" t="n">
        <v>72</v>
      </c>
      <c r="F16" s="13">
        <f>D16-E16</f>
        <v/>
      </c>
      <c r="G16" s="15">
        <f>IF(D16&gt;0, E16/D16, 0)</f>
        <v/>
      </c>
    </row>
    <row r="17" ht="20" customHeight="1">
      <c r="A17" s="16" t="inlineStr">
        <is>
          <t>10/07/2026</t>
        </is>
      </c>
      <c r="B17" s="17" t="inlineStr">
        <is>
          <t>CRISTINA</t>
        </is>
      </c>
      <c r="C17" s="18" t="inlineStr">
        <is>
          <t>NUDE</t>
        </is>
      </c>
      <c r="D17" s="19" t="n">
        <v>24</v>
      </c>
      <c r="E17" s="20" t="n">
        <v>24</v>
      </c>
      <c r="F17" s="19">
        <f>D17-E17</f>
        <v/>
      </c>
      <c r="G17" s="15">
        <f>IF(D17&gt;0, E17/D17, 0)</f>
        <v/>
      </c>
    </row>
    <row r="18" ht="20" customHeight="1">
      <c r="A18" s="10" t="inlineStr">
        <is>
          <t>10/07/2026</t>
        </is>
      </c>
      <c r="B18" s="11" t="inlineStr">
        <is>
          <t>CRISTINA</t>
        </is>
      </c>
      <c r="C18" s="12" t="inlineStr">
        <is>
          <t>PLATA QUEMADA</t>
        </is>
      </c>
      <c r="D18" s="13" t="n">
        <v>48</v>
      </c>
      <c r="E18" s="14" t="n">
        <v>36</v>
      </c>
      <c r="F18" s="13">
        <f>D18-E18</f>
        <v/>
      </c>
      <c r="G18" s="21">
        <f>IF(D18&gt;0, E18/D18, 0)</f>
        <v/>
      </c>
    </row>
    <row r="19" ht="20" customHeight="1">
      <c r="A19" s="16" t="inlineStr">
        <is>
          <t>10/07/2026</t>
        </is>
      </c>
      <c r="B19" s="17" t="inlineStr">
        <is>
          <t>CRISTINA</t>
        </is>
      </c>
      <c r="C19" s="18" t="inlineStr">
        <is>
          <t>PLATA VIEJO</t>
        </is>
      </c>
      <c r="D19" s="19" t="n">
        <v>48</v>
      </c>
      <c r="E19" s="20" t="n">
        <v>23</v>
      </c>
      <c r="F19" s="19">
        <f>D19-E19</f>
        <v/>
      </c>
      <c r="G19" s="21">
        <f>IF(D19&gt;0, E19/D19, 0)</f>
        <v/>
      </c>
    </row>
    <row r="20" ht="20" customHeight="1">
      <c r="A20" s="10" t="inlineStr">
        <is>
          <t>10/07/2026</t>
        </is>
      </c>
      <c r="B20" s="11" t="inlineStr">
        <is>
          <t>INES</t>
        </is>
      </c>
      <c r="C20" s="12" t="inlineStr">
        <is>
          <t>MARRON</t>
        </is>
      </c>
      <c r="D20" s="13" t="n">
        <v>48</v>
      </c>
      <c r="E20" s="14" t="n">
        <v>43</v>
      </c>
      <c r="F20" s="13">
        <f>D20-E20</f>
        <v/>
      </c>
      <c r="G20" s="21">
        <f>IF(D20&gt;0, E20/D20, 0)</f>
        <v/>
      </c>
    </row>
    <row r="21" ht="20" customHeight="1">
      <c r="A21" s="16" t="inlineStr">
        <is>
          <t>10/07/2026</t>
        </is>
      </c>
      <c r="B21" s="17" t="inlineStr">
        <is>
          <t>INES</t>
        </is>
      </c>
      <c r="C21" s="18" t="inlineStr">
        <is>
          <t>NEGRO</t>
        </is>
      </c>
      <c r="D21" s="19" t="n">
        <v>72</v>
      </c>
      <c r="E21" s="20" t="n">
        <v>35</v>
      </c>
      <c r="F21" s="19">
        <f>D21-E21</f>
        <v/>
      </c>
      <c r="G21" s="21">
        <f>IF(D21&gt;0, E21/D21, 0)</f>
        <v/>
      </c>
    </row>
    <row r="22" ht="20" customHeight="1">
      <c r="A22" s="10" t="inlineStr">
        <is>
          <t>10/07/2026</t>
        </is>
      </c>
      <c r="B22" s="11" t="inlineStr">
        <is>
          <t>INES</t>
        </is>
      </c>
      <c r="C22" s="12" t="inlineStr">
        <is>
          <t>VINO</t>
        </is>
      </c>
      <c r="D22" s="13" t="n">
        <v>60</v>
      </c>
      <c r="E22" s="14" t="n">
        <v>43</v>
      </c>
      <c r="F22" s="13">
        <f>D22-E22</f>
        <v/>
      </c>
      <c r="G22" s="21">
        <f>IF(D22&gt;0, E22/D22, 0)</f>
        <v/>
      </c>
    </row>
    <row r="23" ht="20" customHeight="1">
      <c r="A23" s="16" t="inlineStr">
        <is>
          <t>10/07/2026</t>
        </is>
      </c>
      <c r="B23" s="17" t="inlineStr">
        <is>
          <t>LUISA</t>
        </is>
      </c>
      <c r="C23" s="18" t="inlineStr">
        <is>
          <t>BEIGE</t>
        </is>
      </c>
      <c r="D23" s="19" t="n">
        <v>48</v>
      </c>
      <c r="E23" s="20" t="n">
        <v>44</v>
      </c>
      <c r="F23" s="19">
        <f>D23-E23</f>
        <v/>
      </c>
      <c r="G23" s="21">
        <f>IF(D23&gt;0, E23/D23, 0)</f>
        <v/>
      </c>
    </row>
    <row r="24" ht="20" customHeight="1">
      <c r="A24" s="10" t="inlineStr">
        <is>
          <t>10/07/2026</t>
        </is>
      </c>
      <c r="B24" s="11" t="inlineStr">
        <is>
          <t>LUISA</t>
        </is>
      </c>
      <c r="C24" s="12" t="inlineStr">
        <is>
          <t>MARRON</t>
        </is>
      </c>
      <c r="D24" s="13" t="n">
        <v>60</v>
      </c>
      <c r="E24" s="14" t="n">
        <v>56</v>
      </c>
      <c r="F24" s="13">
        <f>D24-E24</f>
        <v/>
      </c>
      <c r="G24" s="21">
        <f>IF(D24&gt;0, E24/D24, 0)</f>
        <v/>
      </c>
    </row>
    <row r="25" ht="20" customHeight="1">
      <c r="A25" s="16" t="inlineStr">
        <is>
          <t>10/07/2026</t>
        </is>
      </c>
      <c r="B25" s="17" t="inlineStr">
        <is>
          <t>LUISA</t>
        </is>
      </c>
      <c r="C25" s="18" t="inlineStr">
        <is>
          <t>NEGRO</t>
        </is>
      </c>
      <c r="D25" s="19" t="n">
        <v>72</v>
      </c>
      <c r="E25" s="20" t="n">
        <v>71</v>
      </c>
      <c r="F25" s="19">
        <f>D25-E25</f>
        <v/>
      </c>
      <c r="G25" s="21">
        <f>IF(D25&gt;0, E25/D25, 0)</f>
        <v/>
      </c>
    </row>
    <row r="26" ht="20" customHeight="1">
      <c r="A26" s="10" t="inlineStr">
        <is>
          <t>10/07/2026</t>
        </is>
      </c>
      <c r="B26" s="11" t="inlineStr">
        <is>
          <t>MAFER</t>
        </is>
      </c>
      <c r="C26" s="12" t="inlineStr">
        <is>
          <t>MARRON</t>
        </is>
      </c>
      <c r="D26" s="13" t="n">
        <v>60</v>
      </c>
      <c r="E26" s="14" t="n">
        <v>59</v>
      </c>
      <c r="F26" s="13">
        <f>D26-E26</f>
        <v/>
      </c>
      <c r="G26" s="21">
        <f>IF(D26&gt;0, E26/D26, 0)</f>
        <v/>
      </c>
    </row>
    <row r="27" ht="20" customHeight="1">
      <c r="A27" s="16" t="inlineStr">
        <is>
          <t>10/07/2026</t>
        </is>
      </c>
      <c r="B27" s="17" t="inlineStr">
        <is>
          <t>MAFER</t>
        </is>
      </c>
      <c r="C27" s="18" t="inlineStr">
        <is>
          <t>NEGRO</t>
        </is>
      </c>
      <c r="D27" s="19" t="n">
        <v>72</v>
      </c>
      <c r="E27" s="20" t="n">
        <v>72</v>
      </c>
      <c r="F27" s="19">
        <f>D27-E27</f>
        <v/>
      </c>
      <c r="G27" s="15">
        <f>IF(D27&gt;0, E27/D27, 0)</f>
        <v/>
      </c>
    </row>
    <row r="28" ht="20" customHeight="1">
      <c r="A28" s="10" t="inlineStr">
        <is>
          <t>10/07/2026</t>
        </is>
      </c>
      <c r="B28" s="11" t="inlineStr">
        <is>
          <t>MAFER</t>
        </is>
      </c>
      <c r="C28" s="12" t="inlineStr">
        <is>
          <t>VINO</t>
        </is>
      </c>
      <c r="D28" s="13" t="n">
        <v>48</v>
      </c>
      <c r="E28" s="14" t="n">
        <v>48</v>
      </c>
      <c r="F28" s="13">
        <f>D28-E28</f>
        <v/>
      </c>
      <c r="G28" s="15">
        <f>IF(D28&gt;0, E28/D28, 0)</f>
        <v/>
      </c>
    </row>
    <row r="29" ht="20" customHeight="1">
      <c r="A29" s="16" t="inlineStr">
        <is>
          <t>10/07/2026</t>
        </is>
      </c>
      <c r="B29" s="17" t="inlineStr">
        <is>
          <t>REBECA</t>
        </is>
      </c>
      <c r="C29" s="18" t="inlineStr">
        <is>
          <t>MARRON</t>
        </is>
      </c>
      <c r="D29" s="19" t="n">
        <v>60</v>
      </c>
      <c r="E29" s="20" t="n">
        <v>59</v>
      </c>
      <c r="F29" s="19">
        <f>D29-E29</f>
        <v/>
      </c>
      <c r="G29" s="21">
        <f>IF(D29&gt;0, E29/D29, 0)</f>
        <v/>
      </c>
    </row>
    <row r="30" ht="20" customHeight="1">
      <c r="A30" s="10" t="inlineStr">
        <is>
          <t>10/07/2026</t>
        </is>
      </c>
      <c r="B30" s="11" t="inlineStr">
        <is>
          <t>REBECA</t>
        </is>
      </c>
      <c r="C30" s="12" t="inlineStr">
        <is>
          <t>NEGRO</t>
        </is>
      </c>
      <c r="D30" s="13" t="n">
        <v>72</v>
      </c>
      <c r="E30" s="14" t="n">
        <v>69</v>
      </c>
      <c r="F30" s="13">
        <f>D30-E30</f>
        <v/>
      </c>
      <c r="G30" s="21">
        <f>IF(D30&gt;0, E30/D30, 0)</f>
        <v/>
      </c>
    </row>
    <row r="31" ht="20" customHeight="1">
      <c r="A31" s="16" t="inlineStr">
        <is>
          <t>10/07/2026</t>
        </is>
      </c>
      <c r="B31" s="17" t="inlineStr">
        <is>
          <t>REBECA</t>
        </is>
      </c>
      <c r="C31" s="18" t="inlineStr">
        <is>
          <t>VINO</t>
        </is>
      </c>
      <c r="D31" s="19" t="n">
        <v>48</v>
      </c>
      <c r="E31" s="20" t="n">
        <v>46</v>
      </c>
      <c r="F31" s="19">
        <f>D31-E31</f>
        <v/>
      </c>
      <c r="G31" s="21">
        <f>IF(D31&gt;0, E31/D31, 0)</f>
        <v/>
      </c>
    </row>
    <row r="32" ht="20" customHeight="1">
      <c r="A32" s="10" t="inlineStr">
        <is>
          <t>10/07/2026</t>
        </is>
      </c>
      <c r="B32" s="11" t="inlineStr">
        <is>
          <t>SIENNA</t>
        </is>
      </c>
      <c r="C32" s="12" t="inlineStr">
        <is>
          <t>BLANCO</t>
        </is>
      </c>
      <c r="D32" s="13" t="n">
        <v>48</v>
      </c>
      <c r="E32" s="14" t="n">
        <v>48</v>
      </c>
      <c r="F32" s="13">
        <f>D32-E32</f>
        <v/>
      </c>
      <c r="G32" s="15">
        <f>IF(D32&gt;0, E32/D32, 0)</f>
        <v/>
      </c>
    </row>
    <row r="33" ht="20" customHeight="1">
      <c r="A33" s="16" t="inlineStr">
        <is>
          <t>10/07/2026</t>
        </is>
      </c>
      <c r="B33" s="17" t="inlineStr">
        <is>
          <t>SIENNA</t>
        </is>
      </c>
      <c r="C33" s="18" t="inlineStr">
        <is>
          <t>MARRON</t>
        </is>
      </c>
      <c r="D33" s="19" t="n">
        <v>60</v>
      </c>
      <c r="E33" s="20" t="n">
        <v>49</v>
      </c>
      <c r="F33" s="19">
        <f>D33-E33</f>
        <v/>
      </c>
      <c r="G33" s="21">
        <f>IF(D33&gt;0, E33/D33, 0)</f>
        <v/>
      </c>
    </row>
    <row r="34" ht="20" customHeight="1">
      <c r="A34" s="10" t="inlineStr">
        <is>
          <t>10/07/2026</t>
        </is>
      </c>
      <c r="B34" s="11" t="inlineStr">
        <is>
          <t>SIENNA</t>
        </is>
      </c>
      <c r="C34" s="12" t="inlineStr">
        <is>
          <t>NEGRO</t>
        </is>
      </c>
      <c r="D34" s="13" t="n">
        <v>72</v>
      </c>
      <c r="E34" s="14" t="n">
        <v>63</v>
      </c>
      <c r="F34" s="13">
        <f>D34-E34</f>
        <v/>
      </c>
      <c r="G34" s="21">
        <f>IF(D34&gt;0, E34/D34, 0)</f>
        <v/>
      </c>
    </row>
    <row r="35" ht="20" customHeight="1">
      <c r="A35" s="16" t="inlineStr">
        <is>
          <t>10/07/2026</t>
        </is>
      </c>
      <c r="B35" s="17" t="inlineStr">
        <is>
          <t>ZOE</t>
        </is>
      </c>
      <c r="C35" s="18" t="inlineStr">
        <is>
          <t>BEIGE</t>
        </is>
      </c>
      <c r="D35" s="19" t="n">
        <v>48</v>
      </c>
      <c r="E35" s="20" t="n">
        <v>47</v>
      </c>
      <c r="F35" s="19">
        <f>D35-E35</f>
        <v/>
      </c>
      <c r="G35" s="21">
        <f>IF(D35&gt;0, E35/D35, 0)</f>
        <v/>
      </c>
    </row>
    <row r="36" ht="20" customHeight="1">
      <c r="A36" s="10" t="inlineStr">
        <is>
          <t>10/07/2026</t>
        </is>
      </c>
      <c r="B36" s="11" t="inlineStr">
        <is>
          <t>ZOE</t>
        </is>
      </c>
      <c r="C36" s="12" t="inlineStr">
        <is>
          <t>CHERRY</t>
        </is>
      </c>
      <c r="D36" s="13" t="n">
        <v>60</v>
      </c>
      <c r="E36" s="14" t="n">
        <v>60</v>
      </c>
      <c r="F36" s="13">
        <f>D36-E36</f>
        <v/>
      </c>
      <c r="G36" s="15">
        <f>IF(D36&gt;0, E36/D36, 0)</f>
        <v/>
      </c>
    </row>
    <row r="37" ht="20" customHeight="1">
      <c r="A37" s="16" t="inlineStr">
        <is>
          <t>10/07/2026</t>
        </is>
      </c>
      <c r="B37" s="17" t="inlineStr">
        <is>
          <t>ZOE</t>
        </is>
      </c>
      <c r="C37" s="18" t="inlineStr">
        <is>
          <t>NEGRO</t>
        </is>
      </c>
      <c r="D37" s="19" t="n">
        <v>72</v>
      </c>
      <c r="E37" s="20" t="n">
        <v>72</v>
      </c>
      <c r="F37" s="19">
        <f>D37-E37</f>
        <v/>
      </c>
      <c r="G37" s="15">
        <f>IF(D37&gt;0, E37/D37, 0)</f>
        <v/>
      </c>
    </row>
    <row r="38" ht="20" customHeight="1">
      <c r="A38" s="10" t="inlineStr">
        <is>
          <t>05/08/2026</t>
        </is>
      </c>
      <c r="B38" s="11" t="inlineStr">
        <is>
          <t>MILUSKA</t>
        </is>
      </c>
      <c r="C38" s="12" t="inlineStr">
        <is>
          <t>MARRON</t>
        </is>
      </c>
      <c r="D38" s="13" t="n">
        <v>24</v>
      </c>
      <c r="E38" s="14" t="n">
        <v>20</v>
      </c>
      <c r="F38" s="13">
        <f>D38-E38</f>
        <v/>
      </c>
      <c r="G38" s="21">
        <f>IF(D38&gt;0, E38/D38, 0)</f>
        <v/>
      </c>
    </row>
    <row r="39" ht="20" customHeight="1">
      <c r="A39" s="16" t="inlineStr">
        <is>
          <t>05/08/2026</t>
        </is>
      </c>
      <c r="B39" s="17" t="inlineStr">
        <is>
          <t>MILUSKA</t>
        </is>
      </c>
      <c r="C39" s="18" t="inlineStr">
        <is>
          <t>NEGRO</t>
        </is>
      </c>
      <c r="D39" s="19" t="n">
        <v>12</v>
      </c>
      <c r="E39" s="20" t="n">
        <v>12</v>
      </c>
      <c r="F39" s="19">
        <f>D39-E39</f>
        <v/>
      </c>
      <c r="G39" s="15">
        <f>IF(D39&gt;0, E39/D39, 0)</f>
        <v/>
      </c>
    </row>
    <row r="40" ht="20" customHeight="1">
      <c r="A40" s="10" t="inlineStr">
        <is>
          <t>18/08/2026</t>
        </is>
      </c>
      <c r="B40" s="11" t="inlineStr">
        <is>
          <t>ALESSIA</t>
        </is>
      </c>
      <c r="C40" s="12" t="inlineStr">
        <is>
          <t>BEIGE</t>
        </is>
      </c>
      <c r="D40" s="13" t="n">
        <v>12</v>
      </c>
      <c r="E40" s="22" t="n">
        <v>0</v>
      </c>
      <c r="F40" s="13">
        <f>D40-E40</f>
        <v/>
      </c>
      <c r="G40" s="21">
        <f>IF(D40&gt;0, E40/D40, 0)</f>
        <v/>
      </c>
    </row>
    <row r="41" ht="20" customHeight="1">
      <c r="A41" s="16" t="inlineStr">
        <is>
          <t>18/08/2026</t>
        </is>
      </c>
      <c r="B41" s="17" t="inlineStr">
        <is>
          <t>ALESSIA</t>
        </is>
      </c>
      <c r="C41" s="18" t="inlineStr">
        <is>
          <t>MARRON</t>
        </is>
      </c>
      <c r="D41" s="19" t="n">
        <v>36</v>
      </c>
      <c r="E41" s="23" t="n">
        <v>0</v>
      </c>
      <c r="F41" s="19">
        <f>D41-E41</f>
        <v/>
      </c>
      <c r="G41" s="21">
        <f>IF(D41&gt;0, E41/D41, 0)</f>
        <v/>
      </c>
    </row>
    <row r="42" ht="20" customHeight="1">
      <c r="A42" s="10" t="inlineStr">
        <is>
          <t>18/08/2026</t>
        </is>
      </c>
      <c r="B42" s="11" t="inlineStr">
        <is>
          <t>ALESSIA</t>
        </is>
      </c>
      <c r="C42" s="12" t="inlineStr">
        <is>
          <t>NEGRO</t>
        </is>
      </c>
      <c r="D42" s="13" t="n">
        <v>72</v>
      </c>
      <c r="E42" s="22" t="n">
        <v>0</v>
      </c>
      <c r="F42" s="13">
        <f>D42-E42</f>
        <v/>
      </c>
      <c r="G42" s="21">
        <f>IF(D42&gt;0, E42/D42, 0)</f>
        <v/>
      </c>
    </row>
    <row r="43" ht="20" customHeight="1">
      <c r="A43" s="16" t="inlineStr">
        <is>
          <t>18/08/2026</t>
        </is>
      </c>
      <c r="B43" s="17" t="inlineStr">
        <is>
          <t>FLAVIA</t>
        </is>
      </c>
      <c r="C43" s="18" t="inlineStr">
        <is>
          <t>BEIGE</t>
        </is>
      </c>
      <c r="D43" s="19" t="n">
        <v>48</v>
      </c>
      <c r="E43" s="23" t="n">
        <v>0</v>
      </c>
      <c r="F43" s="19">
        <f>D43-E43</f>
        <v/>
      </c>
      <c r="G43" s="21">
        <f>IF(D43&gt;0, E43/D43, 0)</f>
        <v/>
      </c>
    </row>
    <row r="44" ht="20" customHeight="1">
      <c r="A44" s="10" t="inlineStr">
        <is>
          <t>18/08/2026</t>
        </is>
      </c>
      <c r="B44" s="11" t="inlineStr">
        <is>
          <t>FLAVIA</t>
        </is>
      </c>
      <c r="C44" s="12" t="inlineStr">
        <is>
          <t>MARRON</t>
        </is>
      </c>
      <c r="D44" s="13" t="n">
        <v>60</v>
      </c>
      <c r="E44" s="22" t="n">
        <v>0</v>
      </c>
      <c r="F44" s="13">
        <f>D44-E44</f>
        <v/>
      </c>
      <c r="G44" s="21">
        <f>IF(D44&gt;0, E44/D44, 0)</f>
        <v/>
      </c>
    </row>
    <row r="45" ht="20" customHeight="1">
      <c r="A45" s="16" t="inlineStr">
        <is>
          <t>18/08/2026</t>
        </is>
      </c>
      <c r="B45" s="17" t="inlineStr">
        <is>
          <t>FLAVIA</t>
        </is>
      </c>
      <c r="C45" s="18" t="inlineStr">
        <is>
          <t>NEGRO</t>
        </is>
      </c>
      <c r="D45" s="19" t="n">
        <v>72</v>
      </c>
      <c r="E45" s="23" t="n">
        <v>0</v>
      </c>
      <c r="F45" s="19">
        <f>D45-E45</f>
        <v/>
      </c>
      <c r="G45" s="21">
        <f>IF(D45&gt;0, E45/D45, 0)</f>
        <v/>
      </c>
    </row>
    <row r="46" ht="20" customHeight="1">
      <c r="A46" s="10" t="inlineStr">
        <is>
          <t>18/08/2026</t>
        </is>
      </c>
      <c r="B46" s="11" t="inlineStr">
        <is>
          <t>GRISSEL</t>
        </is>
      </c>
      <c r="C46" s="12" t="inlineStr">
        <is>
          <t>BEIGE</t>
        </is>
      </c>
      <c r="D46" s="13" t="n">
        <v>48</v>
      </c>
      <c r="E46" s="22" t="n">
        <v>0</v>
      </c>
      <c r="F46" s="13">
        <f>D46-E46</f>
        <v/>
      </c>
      <c r="G46" s="21">
        <f>IF(D46&gt;0, E46/D46, 0)</f>
        <v/>
      </c>
    </row>
    <row r="47" ht="20" customHeight="1">
      <c r="A47" s="16" t="inlineStr">
        <is>
          <t>18/08/2026</t>
        </is>
      </c>
      <c r="B47" s="17" t="inlineStr">
        <is>
          <t>GRISSEL</t>
        </is>
      </c>
      <c r="C47" s="18" t="inlineStr">
        <is>
          <t>CAMEL</t>
        </is>
      </c>
      <c r="D47" s="19" t="n">
        <v>60</v>
      </c>
      <c r="E47" s="23" t="n">
        <v>0</v>
      </c>
      <c r="F47" s="19">
        <f>D47-E47</f>
        <v/>
      </c>
      <c r="G47" s="21">
        <f>IF(D47&gt;0, E47/D47, 0)</f>
        <v/>
      </c>
    </row>
    <row r="48" ht="20" customHeight="1">
      <c r="A48" s="10" t="inlineStr">
        <is>
          <t>18/08/2026</t>
        </is>
      </c>
      <c r="B48" s="11" t="inlineStr">
        <is>
          <t>GRISSEL</t>
        </is>
      </c>
      <c r="C48" s="12" t="inlineStr">
        <is>
          <t>NEGRO</t>
        </is>
      </c>
      <c r="D48" s="13" t="n">
        <v>72</v>
      </c>
      <c r="E48" s="22" t="n">
        <v>0</v>
      </c>
      <c r="F48" s="13">
        <f>D48-E48</f>
        <v/>
      </c>
      <c r="G48" s="21">
        <f>IF(D48&gt;0, E48/D48, 0)</f>
        <v/>
      </c>
    </row>
    <row r="49" ht="20" customHeight="1">
      <c r="A49" s="16" t="inlineStr">
        <is>
          <t>18/08/2026</t>
        </is>
      </c>
      <c r="B49" s="17" t="inlineStr">
        <is>
          <t>LORENA</t>
        </is>
      </c>
      <c r="C49" s="18" t="inlineStr">
        <is>
          <t>CAMEL</t>
        </is>
      </c>
      <c r="D49" s="19" t="n">
        <v>48</v>
      </c>
      <c r="E49" s="23" t="n">
        <v>0</v>
      </c>
      <c r="F49" s="19">
        <f>D49-E49</f>
        <v/>
      </c>
      <c r="G49" s="21">
        <f>IF(D49&gt;0, E49/D49, 0)</f>
        <v/>
      </c>
    </row>
    <row r="50" ht="20" customHeight="1">
      <c r="A50" s="10" t="inlineStr">
        <is>
          <t>18/08/2026</t>
        </is>
      </c>
      <c r="B50" s="11" t="inlineStr">
        <is>
          <t>LORENA</t>
        </is>
      </c>
      <c r="C50" s="12" t="inlineStr">
        <is>
          <t>NEGRO</t>
        </is>
      </c>
      <c r="D50" s="13" t="n">
        <v>72</v>
      </c>
      <c r="E50" s="22" t="n">
        <v>0</v>
      </c>
      <c r="F50" s="13">
        <f>D50-E50</f>
        <v/>
      </c>
      <c r="G50" s="21">
        <f>IF(D50&gt;0, E50/D50, 0)</f>
        <v/>
      </c>
    </row>
    <row r="51" ht="20" customHeight="1">
      <c r="A51" s="16" t="inlineStr">
        <is>
          <t>18/08/2026</t>
        </is>
      </c>
      <c r="B51" s="17" t="inlineStr">
        <is>
          <t>LORENA</t>
        </is>
      </c>
      <c r="C51" s="18" t="inlineStr">
        <is>
          <t>VINO</t>
        </is>
      </c>
      <c r="D51" s="19" t="n">
        <v>60</v>
      </c>
      <c r="E51" s="23" t="n">
        <v>0</v>
      </c>
      <c r="F51" s="19">
        <f>D51-E51</f>
        <v/>
      </c>
      <c r="G51" s="21">
        <f>IF(D51&gt;0, E51/D51, 0)</f>
        <v/>
      </c>
    </row>
    <row r="52" ht="20" customHeight="1">
      <c r="A52" s="10" t="inlineStr">
        <is>
          <t>18/08/2026</t>
        </is>
      </c>
      <c r="B52" s="11" t="inlineStr">
        <is>
          <t>NATALIA</t>
        </is>
      </c>
      <c r="C52" s="12" t="inlineStr">
        <is>
          <t>BEIGE</t>
        </is>
      </c>
      <c r="D52" s="13" t="n">
        <v>48</v>
      </c>
      <c r="E52" s="22" t="n">
        <v>0</v>
      </c>
      <c r="F52" s="13">
        <f>D52-E52</f>
        <v/>
      </c>
      <c r="G52" s="21">
        <f>IF(D52&gt;0, E52/D52, 0)</f>
        <v/>
      </c>
    </row>
    <row r="53" ht="20" customHeight="1">
      <c r="A53" s="16" t="inlineStr">
        <is>
          <t>18/08/2026</t>
        </is>
      </c>
      <c r="B53" s="17" t="inlineStr">
        <is>
          <t>NATALIA</t>
        </is>
      </c>
      <c r="C53" s="18" t="inlineStr">
        <is>
          <t>MARRON</t>
        </is>
      </c>
      <c r="D53" s="19" t="n">
        <v>60</v>
      </c>
      <c r="E53" s="23" t="n">
        <v>0</v>
      </c>
      <c r="F53" s="19">
        <f>D53-E53</f>
        <v/>
      </c>
      <c r="G53" s="21">
        <f>IF(D53&gt;0, E53/D53, 0)</f>
        <v/>
      </c>
    </row>
    <row r="54" ht="20" customHeight="1">
      <c r="A54" s="10" t="inlineStr">
        <is>
          <t>18/08/2026</t>
        </is>
      </c>
      <c r="B54" s="11" t="inlineStr">
        <is>
          <t>NATALIA</t>
        </is>
      </c>
      <c r="C54" s="12" t="inlineStr">
        <is>
          <t>NEGRO</t>
        </is>
      </c>
      <c r="D54" s="13" t="n">
        <v>72</v>
      </c>
      <c r="E54" s="22" t="n">
        <v>0</v>
      </c>
      <c r="F54" s="13">
        <f>D54-E54</f>
        <v/>
      </c>
      <c r="G54" s="21">
        <f>IF(D54&gt;0, E54/D54, 0)</f>
        <v/>
      </c>
    </row>
    <row r="55" ht="20" customHeight="1">
      <c r="A55" s="16" t="inlineStr">
        <is>
          <t>24/08/2026</t>
        </is>
      </c>
      <c r="B55" s="17" t="inlineStr">
        <is>
          <t>MAFER</t>
        </is>
      </c>
      <c r="C55" s="18" t="inlineStr">
        <is>
          <t>MARRON</t>
        </is>
      </c>
      <c r="D55" s="19" t="n">
        <v>48</v>
      </c>
      <c r="E55" s="20" t="n">
        <v>46</v>
      </c>
      <c r="F55" s="19">
        <f>D55-E55</f>
        <v/>
      </c>
      <c r="G55" s="21">
        <f>IF(D55&gt;0, E55/D55, 0)</f>
        <v/>
      </c>
    </row>
    <row r="56" ht="20" customHeight="1">
      <c r="A56" s="10" t="inlineStr">
        <is>
          <t>24/08/2026</t>
        </is>
      </c>
      <c r="B56" s="11" t="inlineStr">
        <is>
          <t>REBECA</t>
        </is>
      </c>
      <c r="C56" s="12" t="inlineStr">
        <is>
          <t>VINO</t>
        </is>
      </c>
      <c r="D56" s="13" t="n">
        <v>60</v>
      </c>
      <c r="E56" s="14" t="n">
        <v>58</v>
      </c>
      <c r="F56" s="13">
        <f>D56-E56</f>
        <v/>
      </c>
      <c r="G56" s="21">
        <f>IF(D56&gt;0, E56/D56, 0)</f>
        <v/>
      </c>
    </row>
    <row r="57" ht="20" customHeight="1">
      <c r="A57" s="16" t="inlineStr">
        <is>
          <t>24/08/2026</t>
        </is>
      </c>
      <c r="B57" s="17" t="inlineStr">
        <is>
          <t>ZOE</t>
        </is>
      </c>
      <c r="C57" s="18" t="inlineStr">
        <is>
          <t>BEIGE</t>
        </is>
      </c>
      <c r="D57" s="19" t="n">
        <v>60</v>
      </c>
      <c r="E57" s="20" t="n">
        <v>60</v>
      </c>
      <c r="F57" s="19">
        <f>D57-E57</f>
        <v/>
      </c>
      <c r="G57" s="15">
        <f>IF(D57&gt;0, E57/D57, 0)</f>
        <v/>
      </c>
    </row>
    <row r="58" ht="20" customHeight="1">
      <c r="A58" s="10" t="inlineStr">
        <is>
          <t>24/08/2026</t>
        </is>
      </c>
      <c r="B58" s="11" t="inlineStr">
        <is>
          <t>ZOE</t>
        </is>
      </c>
      <c r="C58" s="12" t="inlineStr">
        <is>
          <t>CHERRY</t>
        </is>
      </c>
      <c r="D58" s="13" t="n">
        <v>11</v>
      </c>
      <c r="E58" s="14" t="n">
        <v>11</v>
      </c>
      <c r="F58" s="13">
        <f>D58-E58</f>
        <v/>
      </c>
      <c r="G58" s="15">
        <f>IF(D58&gt;0, E58/D58, 0)</f>
        <v/>
      </c>
    </row>
    <row r="59" ht="20" customHeight="1">
      <c r="A59" s="16" t="inlineStr">
        <is>
          <t>02/09/2026</t>
        </is>
      </c>
      <c r="B59" s="17" t="inlineStr">
        <is>
          <t>FABIANA</t>
        </is>
      </c>
      <c r="C59" s="18" t="inlineStr">
        <is>
          <t>BEIGE</t>
        </is>
      </c>
      <c r="D59" s="19" t="n">
        <v>48</v>
      </c>
      <c r="E59" s="20" t="n">
        <v>39</v>
      </c>
      <c r="F59" s="19">
        <f>D59-E59</f>
        <v/>
      </c>
      <c r="G59" s="21">
        <f>IF(D59&gt;0, E59/D59, 0)</f>
        <v/>
      </c>
    </row>
    <row r="60" ht="20" customHeight="1">
      <c r="A60" s="10" t="inlineStr">
        <is>
          <t>02/09/2026</t>
        </is>
      </c>
      <c r="B60" s="11" t="inlineStr">
        <is>
          <t>FABIANA</t>
        </is>
      </c>
      <c r="C60" s="12" t="inlineStr">
        <is>
          <t>MORO</t>
        </is>
      </c>
      <c r="D60" s="13" t="n">
        <v>60</v>
      </c>
      <c r="E60" s="14" t="n">
        <v>57</v>
      </c>
      <c r="F60" s="13">
        <f>D60-E60</f>
        <v/>
      </c>
      <c r="G60" s="21">
        <f>IF(D60&gt;0, E60/D60, 0)</f>
        <v/>
      </c>
    </row>
    <row r="61" ht="20" customHeight="1">
      <c r="A61" s="16" t="inlineStr">
        <is>
          <t>02/09/2026</t>
        </is>
      </c>
      <c r="B61" s="17" t="inlineStr">
        <is>
          <t>FABIANA</t>
        </is>
      </c>
      <c r="C61" s="18" t="inlineStr">
        <is>
          <t>VINO</t>
        </is>
      </c>
      <c r="D61" s="19" t="n">
        <v>48</v>
      </c>
      <c r="E61" s="20" t="n">
        <v>46</v>
      </c>
      <c r="F61" s="19">
        <f>D61-E61</f>
        <v/>
      </c>
      <c r="G61" s="21">
        <f>IF(D61&gt;0, E61/D61, 0)</f>
        <v/>
      </c>
    </row>
    <row r="62" ht="20" customHeight="1">
      <c r="A62" s="10" t="inlineStr">
        <is>
          <t>02/09/2026</t>
        </is>
      </c>
      <c r="B62" s="11" t="inlineStr">
        <is>
          <t>MAFER</t>
        </is>
      </c>
      <c r="C62" s="12" t="inlineStr">
        <is>
          <t>CAMEL</t>
        </is>
      </c>
      <c r="D62" s="13" t="n">
        <v>48</v>
      </c>
      <c r="E62" s="14" t="n">
        <v>46</v>
      </c>
      <c r="F62" s="13">
        <f>D62-E62</f>
        <v/>
      </c>
      <c r="G62" s="21">
        <f>IF(D62&gt;0, E62/D62, 0)</f>
        <v/>
      </c>
    </row>
    <row r="63" ht="20" customHeight="1">
      <c r="A63" s="16" t="inlineStr">
        <is>
          <t>02/09/2026</t>
        </is>
      </c>
      <c r="B63" s="17" t="inlineStr">
        <is>
          <t>MICAELA</t>
        </is>
      </c>
      <c r="C63" s="18" t="inlineStr">
        <is>
          <t>BEIGE</t>
        </is>
      </c>
      <c r="D63" s="19" t="n">
        <v>72</v>
      </c>
      <c r="E63" s="20" t="n">
        <v>52</v>
      </c>
      <c r="F63" s="19">
        <f>D63-E63</f>
        <v/>
      </c>
      <c r="G63" s="21">
        <f>IF(D63&gt;0, E63/D63, 0)</f>
        <v/>
      </c>
    </row>
    <row r="64" ht="20" customHeight="1">
      <c r="A64" s="10" t="inlineStr">
        <is>
          <t>02/09/2026</t>
        </is>
      </c>
      <c r="B64" s="11" t="inlineStr">
        <is>
          <t>MICAELA</t>
        </is>
      </c>
      <c r="C64" s="12" t="inlineStr">
        <is>
          <t>TOFFE</t>
        </is>
      </c>
      <c r="D64" s="13" t="n">
        <v>60</v>
      </c>
      <c r="E64" s="14" t="n">
        <v>52</v>
      </c>
      <c r="F64" s="13">
        <f>D64-E64</f>
        <v/>
      </c>
      <c r="G64" s="21">
        <f>IF(D64&gt;0, E64/D64, 0)</f>
        <v/>
      </c>
    </row>
    <row r="65" ht="20" customHeight="1">
      <c r="A65" s="16" t="inlineStr">
        <is>
          <t>02/09/2026</t>
        </is>
      </c>
      <c r="B65" s="17" t="inlineStr">
        <is>
          <t>MICAELA</t>
        </is>
      </c>
      <c r="C65" s="18" t="inlineStr">
        <is>
          <t>VERDE MENTA</t>
        </is>
      </c>
      <c r="D65" s="19" t="n">
        <v>48</v>
      </c>
      <c r="E65" s="20" t="n">
        <v>41</v>
      </c>
      <c r="F65" s="19">
        <f>D65-E65</f>
        <v/>
      </c>
      <c r="G65" s="21">
        <f>IF(D65&gt;0, E65/D65, 0)</f>
        <v/>
      </c>
    </row>
    <row r="66" ht="20" customHeight="1">
      <c r="A66" s="10" t="inlineStr">
        <is>
          <t>11/09/2026</t>
        </is>
      </c>
      <c r="B66" s="11" t="inlineStr">
        <is>
          <t>CARLOTA</t>
        </is>
      </c>
      <c r="C66" s="12" t="inlineStr">
        <is>
          <t>BAMBI</t>
        </is>
      </c>
      <c r="D66" s="13" t="n">
        <v>60</v>
      </c>
      <c r="E66" s="14" t="n">
        <v>21</v>
      </c>
      <c r="F66" s="13">
        <f>D66-E66</f>
        <v/>
      </c>
      <c r="G66" s="21">
        <f>IF(D66&gt;0, E66/D66, 0)</f>
        <v/>
      </c>
    </row>
    <row r="67" ht="20" customHeight="1">
      <c r="A67" s="16" t="inlineStr">
        <is>
          <t>11/09/2026</t>
        </is>
      </c>
      <c r="B67" s="17" t="inlineStr">
        <is>
          <t>CARLOTA</t>
        </is>
      </c>
      <c r="C67" s="18" t="inlineStr">
        <is>
          <t>LEOPARDO</t>
        </is>
      </c>
      <c r="D67" s="19" t="n">
        <v>48</v>
      </c>
      <c r="E67" s="20" t="n">
        <v>18</v>
      </c>
      <c r="F67" s="19">
        <f>D67-E67</f>
        <v/>
      </c>
      <c r="G67" s="21">
        <f>IF(D67&gt;0, E67/D67, 0)</f>
        <v/>
      </c>
    </row>
    <row r="68" ht="20" customHeight="1">
      <c r="A68" s="10" t="inlineStr">
        <is>
          <t>11/09/2026</t>
        </is>
      </c>
      <c r="B68" s="11" t="inlineStr">
        <is>
          <t>CARLOTA</t>
        </is>
      </c>
      <c r="C68" s="12" t="inlineStr">
        <is>
          <t>VACA</t>
        </is>
      </c>
      <c r="D68" s="13" t="n">
        <v>60</v>
      </c>
      <c r="E68" s="14" t="n">
        <v>18</v>
      </c>
      <c r="F68" s="13">
        <f>D68-E68</f>
        <v/>
      </c>
      <c r="G68" s="21">
        <f>IF(D68&gt;0, E68/D68, 0)</f>
        <v/>
      </c>
    </row>
    <row r="69" ht="20" customHeight="1">
      <c r="A69" s="16" t="inlineStr">
        <is>
          <t>11/09/2026</t>
        </is>
      </c>
      <c r="B69" s="17" t="inlineStr">
        <is>
          <t>GRETA</t>
        </is>
      </c>
      <c r="C69" s="18" t="inlineStr">
        <is>
          <t>GAMUZA CAMEL</t>
        </is>
      </c>
      <c r="D69" s="19" t="n">
        <v>60</v>
      </c>
      <c r="E69" s="20" t="n">
        <v>48</v>
      </c>
      <c r="F69" s="19">
        <f>D69-E69</f>
        <v/>
      </c>
      <c r="G69" s="21">
        <f>IF(D69&gt;0, E69/D69, 0)</f>
        <v/>
      </c>
    </row>
    <row r="70" ht="20" customHeight="1">
      <c r="A70" s="10" t="inlineStr">
        <is>
          <t>11/09/2026</t>
        </is>
      </c>
      <c r="B70" s="11" t="inlineStr">
        <is>
          <t>GRETA</t>
        </is>
      </c>
      <c r="C70" s="12" t="inlineStr">
        <is>
          <t>GAMUZA MARRON</t>
        </is>
      </c>
      <c r="D70" s="13" t="n">
        <v>60</v>
      </c>
      <c r="E70" s="14" t="n">
        <v>46</v>
      </c>
      <c r="F70" s="13">
        <f>D70-E70</f>
        <v/>
      </c>
      <c r="G70" s="21">
        <f>IF(D70&gt;0, E70/D70, 0)</f>
        <v/>
      </c>
    </row>
    <row r="71" ht="20" customHeight="1">
      <c r="A71" s="16" t="inlineStr">
        <is>
          <t>11/09/2026</t>
        </is>
      </c>
      <c r="B71" s="17" t="inlineStr">
        <is>
          <t>GRETA</t>
        </is>
      </c>
      <c r="C71" s="18" t="inlineStr">
        <is>
          <t>GAMUZA VINO</t>
        </is>
      </c>
      <c r="D71" s="19" t="n">
        <v>60</v>
      </c>
      <c r="E71" s="20" t="n">
        <v>45</v>
      </c>
      <c r="F71" s="19">
        <f>D71-E71</f>
        <v/>
      </c>
      <c r="G71" s="21">
        <f>IF(D71&gt;0, E71/D71, 0)</f>
        <v/>
      </c>
    </row>
    <row r="72" ht="20" customHeight="1">
      <c r="A72" s="10" t="inlineStr">
        <is>
          <t>11/09/2026</t>
        </is>
      </c>
      <c r="B72" s="11" t="inlineStr">
        <is>
          <t>JULIETA</t>
        </is>
      </c>
      <c r="C72" s="12" t="inlineStr">
        <is>
          <t>CEBRA BEIGE</t>
        </is>
      </c>
      <c r="D72" s="13" t="n">
        <v>48</v>
      </c>
      <c r="E72" s="14" t="n">
        <v>28</v>
      </c>
      <c r="F72" s="13">
        <f>D72-E72</f>
        <v/>
      </c>
      <c r="G72" s="21">
        <f>IF(D72&gt;0, E72/D72, 0)</f>
        <v/>
      </c>
    </row>
    <row r="73" ht="20" customHeight="1">
      <c r="A73" s="16" t="inlineStr">
        <is>
          <t>11/09/2026</t>
        </is>
      </c>
      <c r="B73" s="17" t="inlineStr">
        <is>
          <t>JULIETA</t>
        </is>
      </c>
      <c r="C73" s="18" t="inlineStr">
        <is>
          <t>CEBRA NEGRO</t>
        </is>
      </c>
      <c r="D73" s="19" t="n">
        <v>48</v>
      </c>
      <c r="E73" s="20" t="n">
        <v>32</v>
      </c>
      <c r="F73" s="19">
        <f>D73-E73</f>
        <v/>
      </c>
      <c r="G73" s="21">
        <f>IF(D73&gt;0, E73/D73, 0)</f>
        <v/>
      </c>
    </row>
    <row r="74" ht="20" customHeight="1">
      <c r="A74" s="10" t="inlineStr">
        <is>
          <t>11/09/2026</t>
        </is>
      </c>
      <c r="B74" s="11" t="inlineStr">
        <is>
          <t>JULIETA</t>
        </is>
      </c>
      <c r="C74" s="12" t="inlineStr">
        <is>
          <t>CEBRA VINO</t>
        </is>
      </c>
      <c r="D74" s="13" t="n">
        <v>48</v>
      </c>
      <c r="E74" s="14" t="n">
        <v>34</v>
      </c>
      <c r="F74" s="13">
        <f>D74-E74</f>
        <v/>
      </c>
      <c r="G74" s="21">
        <f>IF(D74&gt;0, E74/D74, 0)</f>
        <v/>
      </c>
    </row>
    <row r="75" ht="20" customHeight="1">
      <c r="A75" s="16" t="inlineStr">
        <is>
          <t>11/09/2026</t>
        </is>
      </c>
      <c r="B75" s="17" t="inlineStr">
        <is>
          <t>MAFER</t>
        </is>
      </c>
      <c r="C75" s="18" t="inlineStr">
        <is>
          <t>BEIGE</t>
        </is>
      </c>
      <c r="D75" s="19" t="n">
        <v>60</v>
      </c>
      <c r="E75" s="20" t="n">
        <v>42</v>
      </c>
      <c r="F75" s="19">
        <f>D75-E75</f>
        <v/>
      </c>
      <c r="G75" s="21">
        <f>IF(D75&gt;0, E75/D75, 0)</f>
        <v/>
      </c>
    </row>
    <row r="76" ht="20" customHeight="1">
      <c r="A76" s="10" t="inlineStr">
        <is>
          <t>12/09/2026</t>
        </is>
      </c>
      <c r="B76" s="11" t="inlineStr">
        <is>
          <t>ZOE</t>
        </is>
      </c>
      <c r="C76" s="12" t="inlineStr">
        <is>
          <t>BEIGE</t>
        </is>
      </c>
      <c r="D76" s="13" t="n">
        <v>60</v>
      </c>
      <c r="E76" s="14" t="n">
        <v>48</v>
      </c>
      <c r="F76" s="13">
        <f>D76-E76</f>
        <v/>
      </c>
      <c r="G76" s="21">
        <f>IF(D76&gt;0, E76/D76, 0)</f>
        <v/>
      </c>
    </row>
    <row r="77" ht="20" customHeight="1">
      <c r="A77" s="16" t="inlineStr">
        <is>
          <t>17/09/2026</t>
        </is>
      </c>
      <c r="B77" s="17" t="inlineStr">
        <is>
          <t>FABIANA</t>
        </is>
      </c>
      <c r="C77" s="18" t="inlineStr">
        <is>
          <t>BEIGE</t>
        </is>
      </c>
      <c r="D77" s="19" t="n">
        <v>24</v>
      </c>
      <c r="E77" s="20" t="n">
        <v>12</v>
      </c>
      <c r="F77" s="19">
        <f>D77-E77</f>
        <v/>
      </c>
      <c r="G77" s="21">
        <f>IF(D77&gt;0, E77/D77, 0)</f>
        <v/>
      </c>
    </row>
    <row r="78" ht="20" customHeight="1">
      <c r="A78" s="10" t="inlineStr">
        <is>
          <t>17/09/2026</t>
        </is>
      </c>
      <c r="B78" s="11" t="inlineStr">
        <is>
          <t>FABIANA</t>
        </is>
      </c>
      <c r="C78" s="12" t="inlineStr">
        <is>
          <t>MORO</t>
        </is>
      </c>
      <c r="D78" s="13" t="n">
        <v>60</v>
      </c>
      <c r="E78" s="14" t="n">
        <v>11</v>
      </c>
      <c r="F78" s="13">
        <f>D78-E78</f>
        <v/>
      </c>
      <c r="G78" s="21">
        <f>IF(D78&gt;0, E78/D78, 0)</f>
        <v/>
      </c>
    </row>
    <row r="79" ht="20" customHeight="1">
      <c r="A79" s="16" t="inlineStr">
        <is>
          <t>17/09/2026</t>
        </is>
      </c>
      <c r="B79" s="17" t="inlineStr">
        <is>
          <t>MICAELA</t>
        </is>
      </c>
      <c r="C79" s="18" t="inlineStr">
        <is>
          <t>VERDE MENTA</t>
        </is>
      </c>
      <c r="D79" s="19" t="n">
        <v>36</v>
      </c>
      <c r="E79" s="23" t="n">
        <v>0</v>
      </c>
      <c r="F79" s="19">
        <f>D79-E79</f>
        <v/>
      </c>
      <c r="G79" s="21">
        <f>IF(D79&gt;0, E79/D79, 0)</f>
        <v/>
      </c>
    </row>
    <row r="80" ht="20" customHeight="1">
      <c r="A80" s="10" t="inlineStr">
        <is>
          <t>17/09/2026</t>
        </is>
      </c>
      <c r="B80" s="11" t="inlineStr">
        <is>
          <t>ZOE</t>
        </is>
      </c>
      <c r="C80" s="12" t="inlineStr">
        <is>
          <t>BEIGE</t>
        </is>
      </c>
      <c r="D80" s="13" t="n">
        <v>60</v>
      </c>
      <c r="E80" s="22" t="n">
        <v>0</v>
      </c>
      <c r="F80" s="13">
        <f>D80-E80</f>
        <v/>
      </c>
      <c r="G80" s="21">
        <f>IF(D80&gt;0, E80/D80, 0)</f>
        <v/>
      </c>
    </row>
    <row r="81" ht="20" customHeight="1">
      <c r="A81" s="16" t="inlineStr">
        <is>
          <t>22/09/2026</t>
        </is>
      </c>
      <c r="B81" s="17" t="inlineStr">
        <is>
          <t>MAFER</t>
        </is>
      </c>
      <c r="C81" s="18" t="inlineStr">
        <is>
          <t>BEIGE</t>
        </is>
      </c>
      <c r="D81" s="19" t="n">
        <v>72</v>
      </c>
      <c r="E81" s="23" t="n">
        <v>0</v>
      </c>
      <c r="F81" s="19">
        <f>D81-E81</f>
        <v/>
      </c>
      <c r="G81" s="21">
        <f>IF(D81&gt;0, E81/D81, 0)</f>
        <v/>
      </c>
    </row>
    <row r="82" ht="20" customHeight="1">
      <c r="A82" s="10" t="inlineStr">
        <is>
          <t>22/09/2026</t>
        </is>
      </c>
      <c r="B82" s="11" t="inlineStr">
        <is>
          <t>MAFER</t>
        </is>
      </c>
      <c r="C82" s="12" t="inlineStr">
        <is>
          <t>VINO</t>
        </is>
      </c>
      <c r="D82" s="13" t="n">
        <v>72</v>
      </c>
      <c r="E82" s="22" t="n">
        <v>0</v>
      </c>
      <c r="F82" s="13">
        <f>D82-E82</f>
        <v/>
      </c>
      <c r="G82" s="21">
        <f>IF(D82&gt;0, E82/D82, 0)</f>
        <v/>
      </c>
    </row>
    <row r="83" ht="20" customHeight="1">
      <c r="A83" s="16" t="inlineStr">
        <is>
          <t>22/09/2026</t>
        </is>
      </c>
      <c r="B83" s="17" t="inlineStr">
        <is>
          <t>MICAELA</t>
        </is>
      </c>
      <c r="C83" s="18" t="inlineStr">
        <is>
          <t>CELESTE BB</t>
        </is>
      </c>
      <c r="D83" s="19" t="n">
        <v>48</v>
      </c>
      <c r="E83" s="23" t="n">
        <v>0</v>
      </c>
      <c r="F83" s="19">
        <f>D83-E83</f>
        <v/>
      </c>
      <c r="G83" s="21">
        <f>IF(D83&gt;0, E83/D83, 0)</f>
        <v/>
      </c>
    </row>
    <row r="84" ht="20" customHeight="1">
      <c r="A84" s="10" t="inlineStr">
        <is>
          <t>22/09/2026</t>
        </is>
      </c>
      <c r="B84" s="11" t="inlineStr">
        <is>
          <t>MICAELA</t>
        </is>
      </c>
      <c r="C84" s="12" t="inlineStr">
        <is>
          <t>LILA</t>
        </is>
      </c>
      <c r="D84" s="13" t="n">
        <v>48</v>
      </c>
      <c r="E84" s="22" t="n">
        <v>0</v>
      </c>
      <c r="F84" s="13">
        <f>D84-E84</f>
        <v/>
      </c>
      <c r="G84" s="21">
        <f>IF(D84&gt;0, E84/D84, 0)</f>
        <v/>
      </c>
    </row>
    <row r="85" ht="20" customHeight="1">
      <c r="A85" s="16" t="inlineStr">
        <is>
          <t>22/09/2026</t>
        </is>
      </c>
      <c r="B85" s="17" t="inlineStr">
        <is>
          <t>MICAELA</t>
        </is>
      </c>
      <c r="C85" s="18" t="inlineStr">
        <is>
          <t>MANTEQUILLA</t>
        </is>
      </c>
      <c r="D85" s="19" t="n">
        <v>48</v>
      </c>
      <c r="E85" s="23" t="n">
        <v>0</v>
      </c>
      <c r="F85" s="19">
        <f>D85-E85</f>
        <v/>
      </c>
      <c r="G85" s="21">
        <f>IF(D85&gt;0, E85/D85, 0)</f>
        <v/>
      </c>
    </row>
    <row r="86" ht="20" customHeight="1">
      <c r="A86" s="10" t="inlineStr">
        <is>
          <t>22/09/2026</t>
        </is>
      </c>
      <c r="B86" s="11" t="inlineStr">
        <is>
          <t>MICAELA</t>
        </is>
      </c>
      <c r="C86" s="12" t="inlineStr">
        <is>
          <t>MELON</t>
        </is>
      </c>
      <c r="D86" s="13" t="n">
        <v>48</v>
      </c>
      <c r="E86" s="22" t="n">
        <v>0</v>
      </c>
      <c r="F86" s="13">
        <f>D86-E86</f>
        <v/>
      </c>
      <c r="G86" s="21">
        <f>IF(D86&gt;0, E86/D86, 0)</f>
        <v/>
      </c>
    </row>
    <row r="87" ht="20" customHeight="1">
      <c r="A87" s="16" t="inlineStr">
        <is>
          <t>22/09/2026</t>
        </is>
      </c>
      <c r="B87" s="17" t="inlineStr">
        <is>
          <t>MICAELA</t>
        </is>
      </c>
      <c r="C87" s="18" t="inlineStr">
        <is>
          <t>ROSA</t>
        </is>
      </c>
      <c r="D87" s="19" t="n">
        <v>48</v>
      </c>
      <c r="E87" s="23" t="n">
        <v>0</v>
      </c>
      <c r="F87" s="19">
        <f>D87-E87</f>
        <v/>
      </c>
      <c r="G87" s="21">
        <f>IF(D87&gt;0, E87/D87, 0)</f>
        <v/>
      </c>
    </row>
    <row r="88" ht="20" customHeight="1">
      <c r="A88" s="10" t="inlineStr">
        <is>
          <t>22/09/2026</t>
        </is>
      </c>
      <c r="B88" s="11" t="inlineStr">
        <is>
          <t>MICAELA</t>
        </is>
      </c>
      <c r="C88" s="12" t="inlineStr">
        <is>
          <t>VINO</t>
        </is>
      </c>
      <c r="D88" s="13" t="n">
        <v>120</v>
      </c>
      <c r="E88" s="22" t="n">
        <v>0</v>
      </c>
      <c r="F88" s="13">
        <f>D88-E88</f>
        <v/>
      </c>
      <c r="G88" s="21">
        <f>IF(D88&gt;0, E88/D88, 0)</f>
        <v/>
      </c>
    </row>
    <row r="89" ht="20" customHeight="1">
      <c r="A89" s="16" t="inlineStr">
        <is>
          <t>28/09/2026</t>
        </is>
      </c>
      <c r="B89" s="17" t="inlineStr">
        <is>
          <t>CARLOTA</t>
        </is>
      </c>
      <c r="C89" s="18" t="inlineStr">
        <is>
          <t>LEOPARDO</t>
        </is>
      </c>
      <c r="D89" s="19" t="n">
        <v>12</v>
      </c>
      <c r="E89" s="23" t="n">
        <v>0</v>
      </c>
      <c r="F89" s="19">
        <f>D89-E89</f>
        <v/>
      </c>
      <c r="G89" s="21">
        <f>IF(D89&gt;0, E89/D89, 0)</f>
        <v/>
      </c>
    </row>
    <row r="90" ht="20" customHeight="1">
      <c r="A90" s="10" t="inlineStr">
        <is>
          <t>28/09/2026</t>
        </is>
      </c>
      <c r="B90" s="11" t="inlineStr">
        <is>
          <t>CRISTINA</t>
        </is>
      </c>
      <c r="C90" s="12" t="inlineStr">
        <is>
          <t>PLATA QUEMADA</t>
        </is>
      </c>
      <c r="D90" s="13" t="n">
        <v>6</v>
      </c>
      <c r="E90" s="22" t="n">
        <v>0</v>
      </c>
      <c r="F90" s="13">
        <f>D90-E90</f>
        <v/>
      </c>
      <c r="G90" s="21">
        <f>IF(D90&gt;0, E90/D90, 0)</f>
        <v/>
      </c>
    </row>
    <row r="91" ht="20" customHeight="1">
      <c r="A91" s="16" t="inlineStr">
        <is>
          <t>28/09/2026</t>
        </is>
      </c>
      <c r="B91" s="17" t="inlineStr">
        <is>
          <t>FABIANA</t>
        </is>
      </c>
      <c r="C91" s="18" t="inlineStr">
        <is>
          <t>MORO</t>
        </is>
      </c>
      <c r="D91" s="19" t="n">
        <v>12</v>
      </c>
      <c r="E91" s="23" t="n">
        <v>0</v>
      </c>
      <c r="F91" s="19">
        <f>D91-E91</f>
        <v/>
      </c>
      <c r="G91" s="21">
        <f>IF(D91&gt;0, E91/D91, 0)</f>
        <v/>
      </c>
    </row>
    <row r="92" ht="20" customHeight="1">
      <c r="A92" s="10" t="inlineStr">
        <is>
          <t>28/09/2026</t>
        </is>
      </c>
      <c r="B92" s="11" t="inlineStr">
        <is>
          <t>GRETA</t>
        </is>
      </c>
      <c r="C92" s="12" t="inlineStr">
        <is>
          <t>MARRON</t>
        </is>
      </c>
      <c r="D92" s="13" t="n">
        <v>12</v>
      </c>
      <c r="E92" s="22" t="n">
        <v>0</v>
      </c>
      <c r="F92" s="13">
        <f>D92-E92</f>
        <v/>
      </c>
      <c r="G92" s="21">
        <f>IF(D92&gt;0, E92/D92, 0)</f>
        <v/>
      </c>
    </row>
    <row r="93" ht="20" customHeight="1">
      <c r="A93" s="16" t="inlineStr">
        <is>
          <t>28/09/2026</t>
        </is>
      </c>
      <c r="B93" s="17" t="inlineStr">
        <is>
          <t>GRETA</t>
        </is>
      </c>
      <c r="C93" s="18" t="inlineStr">
        <is>
          <t>VINO</t>
        </is>
      </c>
      <c r="D93" s="19" t="n">
        <v>12</v>
      </c>
      <c r="E93" s="23" t="n">
        <v>0</v>
      </c>
      <c r="F93" s="19">
        <f>D93-E93</f>
        <v/>
      </c>
      <c r="G93" s="21">
        <f>IF(D93&gt;0, E93/D93, 0)</f>
        <v/>
      </c>
    </row>
    <row r="94" ht="20" customHeight="1">
      <c r="A94" s="10" t="inlineStr">
        <is>
          <t>28/09/2026</t>
        </is>
      </c>
      <c r="B94" s="11" t="inlineStr">
        <is>
          <t>MAFER</t>
        </is>
      </c>
      <c r="C94" s="12" t="inlineStr">
        <is>
          <t>MARRON</t>
        </is>
      </c>
      <c r="D94" s="13" t="n">
        <v>12</v>
      </c>
      <c r="E94" s="22" t="n">
        <v>0</v>
      </c>
      <c r="F94" s="13">
        <f>D94-E94</f>
        <v/>
      </c>
      <c r="G94" s="21">
        <f>IF(D94&gt;0, E94/D94, 0)</f>
        <v/>
      </c>
    </row>
    <row r="95" ht="20" customHeight="1">
      <c r="A95" s="16" t="inlineStr">
        <is>
          <t>28/09/2026</t>
        </is>
      </c>
      <c r="B95" s="17" t="inlineStr">
        <is>
          <t>MAFER</t>
        </is>
      </c>
      <c r="C95" s="18" t="inlineStr">
        <is>
          <t>VINO</t>
        </is>
      </c>
      <c r="D95" s="19" t="n">
        <v>12</v>
      </c>
      <c r="E95" s="23" t="n">
        <v>0</v>
      </c>
      <c r="F95" s="19">
        <f>D95-E95</f>
        <v/>
      </c>
      <c r="G95" s="21">
        <f>IF(D95&gt;0, E95/D95, 0)</f>
        <v/>
      </c>
    </row>
    <row r="96" ht="20" customHeight="1">
      <c r="A96" s="10" t="inlineStr">
        <is>
          <t>28/09/2026</t>
        </is>
      </c>
      <c r="B96" s="11" t="inlineStr">
        <is>
          <t>MICAELA</t>
        </is>
      </c>
      <c r="C96" s="12" t="inlineStr">
        <is>
          <t>CELESTE BB</t>
        </is>
      </c>
      <c r="D96" s="13" t="n">
        <v>12</v>
      </c>
      <c r="E96" s="22" t="n">
        <v>0</v>
      </c>
      <c r="F96" s="13">
        <f>D96-E96</f>
        <v/>
      </c>
      <c r="G96" s="21">
        <f>IF(D96&gt;0, E96/D96, 0)</f>
        <v/>
      </c>
    </row>
    <row r="97" ht="20" customHeight="1">
      <c r="A97" s="16" t="inlineStr">
        <is>
          <t>28/09/2026</t>
        </is>
      </c>
      <c r="B97" s="17" t="inlineStr">
        <is>
          <t>MICAELA</t>
        </is>
      </c>
      <c r="C97" s="18" t="inlineStr">
        <is>
          <t>LILA</t>
        </is>
      </c>
      <c r="D97" s="19" t="n">
        <v>12</v>
      </c>
      <c r="E97" s="23" t="n">
        <v>0</v>
      </c>
      <c r="F97" s="19">
        <f>D97-E97</f>
        <v/>
      </c>
      <c r="G97" s="21">
        <f>IF(D97&gt;0, E97/D97, 0)</f>
        <v/>
      </c>
    </row>
    <row r="98" ht="20" customHeight="1">
      <c r="A98" s="10" t="inlineStr">
        <is>
          <t>28/09/2026</t>
        </is>
      </c>
      <c r="B98" s="11" t="inlineStr">
        <is>
          <t>MICAELA</t>
        </is>
      </c>
      <c r="C98" s="12" t="inlineStr">
        <is>
          <t>MANTEQUILLA</t>
        </is>
      </c>
      <c r="D98" s="13" t="n">
        <v>12</v>
      </c>
      <c r="E98" s="22" t="n">
        <v>0</v>
      </c>
      <c r="F98" s="13">
        <f>D98-E98</f>
        <v/>
      </c>
      <c r="G98" s="21">
        <f>IF(D98&gt;0, E98/D98, 0)</f>
        <v/>
      </c>
    </row>
    <row r="99" ht="20" customHeight="1">
      <c r="A99" s="16" t="inlineStr">
        <is>
          <t>28/09/2026</t>
        </is>
      </c>
      <c r="B99" s="17" t="inlineStr">
        <is>
          <t>MICAELA</t>
        </is>
      </c>
      <c r="C99" s="18" t="inlineStr">
        <is>
          <t>MELON</t>
        </is>
      </c>
      <c r="D99" s="19" t="n">
        <v>12</v>
      </c>
      <c r="E99" s="23" t="n">
        <v>0</v>
      </c>
      <c r="F99" s="19">
        <f>D99-E99</f>
        <v/>
      </c>
      <c r="G99" s="21">
        <f>IF(D99&gt;0, E99/D99, 0)</f>
        <v/>
      </c>
    </row>
    <row r="100" ht="20" customHeight="1">
      <c r="A100" s="10" t="inlineStr">
        <is>
          <t>28/09/2026</t>
        </is>
      </c>
      <c r="B100" s="11" t="inlineStr">
        <is>
          <t>MICAELA</t>
        </is>
      </c>
      <c r="C100" s="12" t="inlineStr">
        <is>
          <t>ROSA</t>
        </is>
      </c>
      <c r="D100" s="13" t="n">
        <v>12</v>
      </c>
      <c r="E100" s="22" t="n">
        <v>0</v>
      </c>
      <c r="F100" s="13">
        <f>D100-E100</f>
        <v/>
      </c>
      <c r="G100" s="21">
        <f>IF(D100&gt;0, E100/D100, 0)</f>
        <v/>
      </c>
    </row>
    <row r="101" ht="20" customHeight="1">
      <c r="A101" s="16" t="inlineStr">
        <is>
          <t>28/09/2026</t>
        </is>
      </c>
      <c r="B101" s="17" t="inlineStr">
        <is>
          <t>MICAELA</t>
        </is>
      </c>
      <c r="C101" s="18" t="inlineStr">
        <is>
          <t>VINO</t>
        </is>
      </c>
      <c r="D101" s="19" t="n">
        <v>12</v>
      </c>
      <c r="E101" s="23" t="n">
        <v>0</v>
      </c>
      <c r="F101" s="19">
        <f>D101-E101</f>
        <v/>
      </c>
      <c r="G101" s="21">
        <f>IF(D101&gt;0, E101/D101, 0)</f>
        <v/>
      </c>
    </row>
    <row r="102" ht="20" customHeight="1">
      <c r="A102" s="10" t="inlineStr">
        <is>
          <t>30/09/2026</t>
        </is>
      </c>
      <c r="B102" s="11" t="inlineStr">
        <is>
          <t>DEMI</t>
        </is>
      </c>
      <c r="C102" s="12" t="inlineStr">
        <is>
          <t>NEGRO</t>
        </is>
      </c>
      <c r="D102" s="13" t="n">
        <v>72</v>
      </c>
      <c r="E102" s="22" t="n">
        <v>0</v>
      </c>
      <c r="F102" s="13">
        <f>D102-E102</f>
        <v/>
      </c>
      <c r="G102" s="21">
        <f>IF(D102&gt;0, E102/D102, 0)</f>
        <v/>
      </c>
    </row>
    <row r="103" ht="24" customHeight="1">
      <c r="A103" s="24" t="inlineStr">
        <is>
          <t>TOTAL GENERAL</t>
        </is>
      </c>
      <c r="B103" s="25" t="inlineStr"/>
      <c r="C103" s="25" t="inlineStr"/>
      <c r="D103" s="26">
        <f>SUM(D8:D102)</f>
        <v/>
      </c>
      <c r="E103" s="26">
        <f>SUM(E8:E102)</f>
        <v/>
      </c>
      <c r="F103" s="27">
        <f>D103-E103</f>
        <v/>
      </c>
      <c r="G103" s="28">
        <f>IF(D103&gt;0, E103/D103, 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6" customWidth="1" min="5" max="5"/>
    <col width="18" customWidth="1" min="6" max="6"/>
    <col width="14" customWidth="1" min="7" max="7"/>
    <col width="14" customWidth="1" min="8" max="8"/>
    <col width="16" customWidth="1" min="9" max="9"/>
  </cols>
  <sheetData>
    <row r="1" ht="32" customHeight="1">
      <c r="A1" s="1" t="inlineStr">
        <is>
          <t>JOLI JOLI · DETALLE POR ORDEN DE PRODUCCIÓN (OP 3354 EN ADELANTE)</t>
        </is>
      </c>
    </row>
    <row r="2" ht="20" customHeight="1">
      <c r="A2" s="2" t="inlineStr">
        <is>
          <t>Detalle individual de cada orden con su estado en empaque · Total 392 órdenes</t>
        </is>
      </c>
    </row>
    <row r="4" ht="26" customHeight="1">
      <c r="A4" s="29" t="inlineStr">
        <is>
          <t>Fecha pedido</t>
        </is>
      </c>
      <c r="B4" s="29" t="inlineStr">
        <is>
          <t>OP</t>
        </is>
      </c>
      <c r="C4" s="30" t="inlineStr">
        <is>
          <t>Modelo</t>
        </is>
      </c>
      <c r="D4" s="30" t="inlineStr">
        <is>
          <t>Color</t>
        </is>
      </c>
      <c r="E4" s="31" t="inlineStr">
        <is>
          <t>Cantidad pedida</t>
        </is>
      </c>
      <c r="F4" s="31" t="inlineStr">
        <is>
          <t>Cantidad entregada</t>
        </is>
      </c>
      <c r="G4" s="31" t="inlineStr">
        <is>
          <t>Diferencia</t>
        </is>
      </c>
      <c r="H4" s="31" t="inlineStr">
        <is>
          <t>% Avance</t>
        </is>
      </c>
      <c r="I4" s="29" t="inlineStr">
        <is>
          <t>Estado</t>
        </is>
      </c>
    </row>
    <row r="5" ht="20" customHeight="1">
      <c r="A5" s="10" t="inlineStr">
        <is>
          <t>10/07/2026</t>
        </is>
      </c>
      <c r="B5" s="32" t="n">
        <v>3480</v>
      </c>
      <c r="C5" s="12" t="inlineStr">
        <is>
          <t>ABRIL</t>
        </is>
      </c>
      <c r="D5" s="12" t="inlineStr">
        <is>
          <t>NATURAL</t>
        </is>
      </c>
      <c r="E5" s="13" t="n">
        <v>12</v>
      </c>
      <c r="F5" s="13" t="n">
        <v>12</v>
      </c>
      <c r="G5" s="13">
        <f>E5-F5</f>
        <v/>
      </c>
      <c r="H5" s="21">
        <f>IF(E5&gt;0, F5/E5, 0)</f>
        <v/>
      </c>
      <c r="I5" s="33" t="inlineStr">
        <is>
          <t>Completo</t>
        </is>
      </c>
    </row>
    <row r="6" ht="20" customHeight="1">
      <c r="A6" s="16" t="inlineStr">
        <is>
          <t>10/07/2026</t>
        </is>
      </c>
      <c r="B6" s="34" t="n">
        <v>3481</v>
      </c>
      <c r="C6" s="18" t="inlineStr">
        <is>
          <t>ABRIL</t>
        </is>
      </c>
      <c r="D6" s="18" t="inlineStr">
        <is>
          <t>NATURAL</t>
        </is>
      </c>
      <c r="E6" s="19" t="n">
        <v>12</v>
      </c>
      <c r="F6" s="19" t="n">
        <v>22</v>
      </c>
      <c r="G6" s="19">
        <f>E6-F6</f>
        <v/>
      </c>
      <c r="H6" s="35">
        <f>IF(E6&gt;0, F6/E6, 0)</f>
        <v/>
      </c>
      <c r="I6" s="36" t="inlineStr">
        <is>
          <t>Pendiente</t>
        </is>
      </c>
    </row>
    <row r="7" ht="20" customHeight="1">
      <c r="A7" s="10" t="inlineStr">
        <is>
          <t>10/07/2026</t>
        </is>
      </c>
      <c r="B7" s="32" t="n">
        <v>3482</v>
      </c>
      <c r="C7" s="12" t="inlineStr">
        <is>
          <t>ABRIL</t>
        </is>
      </c>
      <c r="D7" s="12" t="inlineStr">
        <is>
          <t>NATURAL</t>
        </is>
      </c>
      <c r="E7" s="13" t="n">
        <v>12</v>
      </c>
      <c r="F7" s="13" t="n">
        <v>9</v>
      </c>
      <c r="G7" s="13">
        <f>E7-F7</f>
        <v/>
      </c>
      <c r="H7" s="21">
        <f>IF(E7&gt;0, F7/E7, 0)</f>
        <v/>
      </c>
      <c r="I7" s="36" t="inlineStr">
        <is>
          <t>Pendiente</t>
        </is>
      </c>
    </row>
    <row r="8" ht="20" customHeight="1">
      <c r="A8" s="16" t="inlineStr">
        <is>
          <t>10/07/2026</t>
        </is>
      </c>
      <c r="B8" s="34" t="n">
        <v>3483</v>
      </c>
      <c r="C8" s="18" t="inlineStr">
        <is>
          <t>ABRIL</t>
        </is>
      </c>
      <c r="D8" s="18" t="inlineStr">
        <is>
          <t>NATURAL</t>
        </is>
      </c>
      <c r="E8" s="19" t="n">
        <v>12</v>
      </c>
      <c r="F8" s="19" t="n">
        <v>10</v>
      </c>
      <c r="G8" s="19">
        <f>E8-F8</f>
        <v/>
      </c>
      <c r="H8" s="35">
        <f>IF(E8&gt;0, F8/E8, 0)</f>
        <v/>
      </c>
      <c r="I8" s="36" t="inlineStr">
        <is>
          <t>Pendiente</t>
        </is>
      </c>
    </row>
    <row r="9" ht="20" customHeight="1">
      <c r="A9" s="10" t="inlineStr">
        <is>
          <t>10/07/2026</t>
        </is>
      </c>
      <c r="B9" s="32" t="n">
        <v>3469</v>
      </c>
      <c r="C9" s="12" t="inlineStr">
        <is>
          <t>ABRIL</t>
        </is>
      </c>
      <c r="D9" s="12" t="inlineStr">
        <is>
          <t>NEGRO</t>
        </is>
      </c>
      <c r="E9" s="13" t="n">
        <v>12</v>
      </c>
      <c r="F9" s="13" t="n">
        <v>7</v>
      </c>
      <c r="G9" s="13">
        <f>E9-F9</f>
        <v/>
      </c>
      <c r="H9" s="21">
        <f>IF(E9&gt;0, F9/E9, 0)</f>
        <v/>
      </c>
      <c r="I9" s="36" t="inlineStr">
        <is>
          <t>Pendiente</t>
        </is>
      </c>
    </row>
    <row r="10" ht="20" customHeight="1">
      <c r="A10" s="16" t="inlineStr">
        <is>
          <t>10/07/2026</t>
        </is>
      </c>
      <c r="B10" s="34" t="n">
        <v>3470</v>
      </c>
      <c r="C10" s="18" t="inlineStr">
        <is>
          <t>ABRIL</t>
        </is>
      </c>
      <c r="D10" s="18" t="inlineStr">
        <is>
          <t>NEGRO</t>
        </is>
      </c>
      <c r="E10" s="19" t="n">
        <v>12</v>
      </c>
      <c r="F10" s="19" t="n">
        <v>0</v>
      </c>
      <c r="G10" s="19">
        <f>E10-F10</f>
        <v/>
      </c>
      <c r="H10" s="35">
        <f>IF(E10&gt;0, F10/E10, 0)</f>
        <v/>
      </c>
      <c r="I10" s="36" t="inlineStr">
        <is>
          <t>Pendiente</t>
        </is>
      </c>
    </row>
    <row r="11" ht="20" customHeight="1">
      <c r="A11" s="10" t="inlineStr">
        <is>
          <t>10/07/2026</t>
        </is>
      </c>
      <c r="B11" s="32" t="n">
        <v>3471</v>
      </c>
      <c r="C11" s="12" t="inlineStr">
        <is>
          <t>ABRIL</t>
        </is>
      </c>
      <c r="D11" s="12" t="inlineStr">
        <is>
          <t>NEGRO</t>
        </is>
      </c>
      <c r="E11" s="13" t="n">
        <v>12</v>
      </c>
      <c r="F11" s="13" t="n">
        <v>11</v>
      </c>
      <c r="G11" s="13">
        <f>E11-F11</f>
        <v/>
      </c>
      <c r="H11" s="21">
        <f>IF(E11&gt;0, F11/E11, 0)</f>
        <v/>
      </c>
      <c r="I11" s="36" t="inlineStr">
        <is>
          <t>Pendiente</t>
        </is>
      </c>
    </row>
    <row r="12" ht="20" customHeight="1">
      <c r="A12" s="16" t="inlineStr">
        <is>
          <t>10/07/2026</t>
        </is>
      </c>
      <c r="B12" s="34" t="n">
        <v>3472</v>
      </c>
      <c r="C12" s="18" t="inlineStr">
        <is>
          <t>ABRIL</t>
        </is>
      </c>
      <c r="D12" s="18" t="inlineStr">
        <is>
          <t>NEGRO</t>
        </is>
      </c>
      <c r="E12" s="19" t="n">
        <v>12</v>
      </c>
      <c r="F12" s="19" t="n">
        <v>12</v>
      </c>
      <c r="G12" s="19">
        <f>E12-F12</f>
        <v/>
      </c>
      <c r="H12" s="35">
        <f>IF(E12&gt;0, F12/E12, 0)</f>
        <v/>
      </c>
      <c r="I12" s="33" t="inlineStr">
        <is>
          <t>Completo</t>
        </is>
      </c>
    </row>
    <row r="13" ht="20" customHeight="1">
      <c r="A13" s="10" t="inlineStr">
        <is>
          <t>10/07/2026</t>
        </is>
      </c>
      <c r="B13" s="32" t="n">
        <v>3473</v>
      </c>
      <c r="C13" s="12" t="inlineStr">
        <is>
          <t>ABRIL</t>
        </is>
      </c>
      <c r="D13" s="12" t="inlineStr">
        <is>
          <t>NEGRO</t>
        </is>
      </c>
      <c r="E13" s="13" t="n">
        <v>12</v>
      </c>
      <c r="F13" s="13" t="n">
        <v>8</v>
      </c>
      <c r="G13" s="13">
        <f>E13-F13</f>
        <v/>
      </c>
      <c r="H13" s="21">
        <f>IF(E13&gt;0, F13/E13, 0)</f>
        <v/>
      </c>
      <c r="I13" s="36" t="inlineStr">
        <is>
          <t>Pendiente</t>
        </is>
      </c>
    </row>
    <row r="14" ht="20" customHeight="1">
      <c r="A14" s="16" t="inlineStr">
        <is>
          <t>10/07/2026</t>
        </is>
      </c>
      <c r="B14" s="34" t="n">
        <v>3474</v>
      </c>
      <c r="C14" s="18" t="inlineStr">
        <is>
          <t>ABRIL</t>
        </is>
      </c>
      <c r="D14" s="18" t="inlineStr">
        <is>
          <t>NEGRO</t>
        </is>
      </c>
      <c r="E14" s="19" t="n">
        <v>12</v>
      </c>
      <c r="F14" s="19" t="n">
        <v>2</v>
      </c>
      <c r="G14" s="19">
        <f>E14-F14</f>
        <v/>
      </c>
      <c r="H14" s="35">
        <f>IF(E14&gt;0, F14/E14, 0)</f>
        <v/>
      </c>
      <c r="I14" s="36" t="inlineStr">
        <is>
          <t>Pendiente</t>
        </is>
      </c>
    </row>
    <row r="15" ht="20" customHeight="1">
      <c r="A15" s="10" t="inlineStr">
        <is>
          <t>10/07/2026</t>
        </is>
      </c>
      <c r="B15" s="32" t="n">
        <v>3475</v>
      </c>
      <c r="C15" s="12" t="inlineStr">
        <is>
          <t>ABRIL</t>
        </is>
      </c>
      <c r="D15" s="12" t="inlineStr">
        <is>
          <t>VINO</t>
        </is>
      </c>
      <c r="E15" s="13" t="n">
        <v>12</v>
      </c>
      <c r="F15" s="13" t="n">
        <v>9</v>
      </c>
      <c r="G15" s="13">
        <f>E15-F15</f>
        <v/>
      </c>
      <c r="H15" s="21">
        <f>IF(E15&gt;0, F15/E15, 0)</f>
        <v/>
      </c>
      <c r="I15" s="36" t="inlineStr">
        <is>
          <t>Pendiente</t>
        </is>
      </c>
    </row>
    <row r="16" ht="20" customHeight="1">
      <c r="A16" s="16" t="inlineStr">
        <is>
          <t>10/07/2026</t>
        </is>
      </c>
      <c r="B16" s="34" t="n">
        <v>3476</v>
      </c>
      <c r="C16" s="18" t="inlineStr">
        <is>
          <t>ABRIL</t>
        </is>
      </c>
      <c r="D16" s="18" t="inlineStr">
        <is>
          <t>VINO</t>
        </is>
      </c>
      <c r="E16" s="19" t="n">
        <v>12</v>
      </c>
      <c r="F16" s="19" t="n">
        <v>5</v>
      </c>
      <c r="G16" s="19">
        <f>E16-F16</f>
        <v/>
      </c>
      <c r="H16" s="35">
        <f>IF(E16&gt;0, F16/E16, 0)</f>
        <v/>
      </c>
      <c r="I16" s="36" t="inlineStr">
        <is>
          <t>Pendiente</t>
        </is>
      </c>
    </row>
    <row r="17" ht="20" customHeight="1">
      <c r="A17" s="10" t="inlineStr">
        <is>
          <t>10/07/2026</t>
        </is>
      </c>
      <c r="B17" s="32" t="n">
        <v>3477</v>
      </c>
      <c r="C17" s="12" t="inlineStr">
        <is>
          <t>ABRIL</t>
        </is>
      </c>
      <c r="D17" s="12" t="inlineStr">
        <is>
          <t>VINO</t>
        </is>
      </c>
      <c r="E17" s="13" t="n">
        <v>12</v>
      </c>
      <c r="F17" s="13" t="n">
        <v>3</v>
      </c>
      <c r="G17" s="13">
        <f>E17-F17</f>
        <v/>
      </c>
      <c r="H17" s="21">
        <f>IF(E17&gt;0, F17/E17, 0)</f>
        <v/>
      </c>
      <c r="I17" s="36" t="inlineStr">
        <is>
          <t>Pendiente</t>
        </is>
      </c>
    </row>
    <row r="18" ht="20" customHeight="1">
      <c r="A18" s="16" t="inlineStr">
        <is>
          <t>10/07/2026</t>
        </is>
      </c>
      <c r="B18" s="34" t="n">
        <v>3478</v>
      </c>
      <c r="C18" s="18" t="inlineStr">
        <is>
          <t>ABRIL</t>
        </is>
      </c>
      <c r="D18" s="18" t="inlineStr">
        <is>
          <t>VINO</t>
        </is>
      </c>
      <c r="E18" s="19" t="n">
        <v>12</v>
      </c>
      <c r="F18" s="19" t="n">
        <v>1</v>
      </c>
      <c r="G18" s="19">
        <f>E18-F18</f>
        <v/>
      </c>
      <c r="H18" s="35">
        <f>IF(E18&gt;0, F18/E18, 0)</f>
        <v/>
      </c>
      <c r="I18" s="36" t="inlineStr">
        <is>
          <t>Pendiente</t>
        </is>
      </c>
    </row>
    <row r="19" ht="20" customHeight="1">
      <c r="A19" s="10" t="inlineStr">
        <is>
          <t>10/07/2026</t>
        </is>
      </c>
      <c r="B19" s="32" t="n">
        <v>3479</v>
      </c>
      <c r="C19" s="12" t="inlineStr">
        <is>
          <t>ABRIL</t>
        </is>
      </c>
      <c r="D19" s="12" t="inlineStr">
        <is>
          <t>VINO</t>
        </is>
      </c>
      <c r="E19" s="13" t="n">
        <v>12</v>
      </c>
      <c r="F19" s="13" t="n">
        <v>4</v>
      </c>
      <c r="G19" s="13">
        <f>E19-F19</f>
        <v/>
      </c>
      <c r="H19" s="21">
        <f>IF(E19&gt;0, F19/E19, 0)</f>
        <v/>
      </c>
      <c r="I19" s="36" t="inlineStr">
        <is>
          <t>Pendiente</t>
        </is>
      </c>
    </row>
    <row r="20" ht="20" customHeight="1">
      <c r="A20" s="16" t="inlineStr">
        <is>
          <t>10/07/2026</t>
        </is>
      </c>
      <c r="B20" s="34" t="n">
        <v>3495</v>
      </c>
      <c r="C20" s="18" t="inlineStr">
        <is>
          <t>ANTONELLA</t>
        </is>
      </c>
      <c r="D20" s="18" t="inlineStr">
        <is>
          <t>BLANCO</t>
        </is>
      </c>
      <c r="E20" s="19" t="n">
        <v>12</v>
      </c>
      <c r="F20" s="19" t="n">
        <v>11</v>
      </c>
      <c r="G20" s="19">
        <f>E20-F20</f>
        <v/>
      </c>
      <c r="H20" s="35">
        <f>IF(E20&gt;0, F20/E20, 0)</f>
        <v/>
      </c>
      <c r="I20" s="36" t="inlineStr">
        <is>
          <t>Pendiente</t>
        </is>
      </c>
    </row>
    <row r="21" ht="20" customHeight="1">
      <c r="A21" s="10" t="inlineStr">
        <is>
          <t>10/07/2026</t>
        </is>
      </c>
      <c r="B21" s="32" t="n">
        <v>3496</v>
      </c>
      <c r="C21" s="12" t="inlineStr">
        <is>
          <t>ANTONELLA</t>
        </is>
      </c>
      <c r="D21" s="12" t="inlineStr">
        <is>
          <t>BLANCO</t>
        </is>
      </c>
      <c r="E21" s="13" t="n">
        <v>12</v>
      </c>
      <c r="F21" s="13" t="n">
        <v>12</v>
      </c>
      <c r="G21" s="13">
        <f>E21-F21</f>
        <v/>
      </c>
      <c r="H21" s="21">
        <f>IF(E21&gt;0, F21/E21, 0)</f>
        <v/>
      </c>
      <c r="I21" s="33" t="inlineStr">
        <is>
          <t>Completo</t>
        </is>
      </c>
    </row>
    <row r="22" ht="20" customHeight="1">
      <c r="A22" s="16" t="inlineStr">
        <is>
          <t>10/07/2026</t>
        </is>
      </c>
      <c r="B22" s="34" t="n">
        <v>3497</v>
      </c>
      <c r="C22" s="18" t="inlineStr">
        <is>
          <t>ANTONELLA</t>
        </is>
      </c>
      <c r="D22" s="18" t="inlineStr">
        <is>
          <t>BLANCO</t>
        </is>
      </c>
      <c r="E22" s="19" t="n">
        <v>12</v>
      </c>
      <c r="F22" s="19" t="n">
        <v>12</v>
      </c>
      <c r="G22" s="19">
        <f>E22-F22</f>
        <v/>
      </c>
      <c r="H22" s="35">
        <f>IF(E22&gt;0, F22/E22, 0)</f>
        <v/>
      </c>
      <c r="I22" s="33" t="inlineStr">
        <is>
          <t>Completo</t>
        </is>
      </c>
    </row>
    <row r="23" ht="20" customHeight="1">
      <c r="A23" s="10" t="inlineStr">
        <is>
          <t>10/07/2026</t>
        </is>
      </c>
      <c r="B23" s="32" t="n">
        <v>3498</v>
      </c>
      <c r="C23" s="12" t="inlineStr">
        <is>
          <t>ANTONELLA</t>
        </is>
      </c>
      <c r="D23" s="12" t="inlineStr">
        <is>
          <t>BLANCO</t>
        </is>
      </c>
      <c r="E23" s="13" t="n">
        <v>12</v>
      </c>
      <c r="F23" s="13" t="n">
        <v>12</v>
      </c>
      <c r="G23" s="13">
        <f>E23-F23</f>
        <v/>
      </c>
      <c r="H23" s="21">
        <f>IF(E23&gt;0, F23/E23, 0)</f>
        <v/>
      </c>
      <c r="I23" s="33" t="inlineStr">
        <is>
          <t>Completo</t>
        </is>
      </c>
    </row>
    <row r="24" ht="20" customHeight="1">
      <c r="A24" s="16" t="inlineStr">
        <is>
          <t>10/07/2026</t>
        </is>
      </c>
      <c r="B24" s="34" t="n">
        <v>3490</v>
      </c>
      <c r="C24" s="18" t="inlineStr">
        <is>
          <t>ANTONELLA</t>
        </is>
      </c>
      <c r="D24" s="18" t="inlineStr">
        <is>
          <t>GRIS</t>
        </is>
      </c>
      <c r="E24" s="19" t="n">
        <v>12</v>
      </c>
      <c r="F24" s="19" t="n">
        <v>12</v>
      </c>
      <c r="G24" s="19">
        <f>E24-F24</f>
        <v/>
      </c>
      <c r="H24" s="35">
        <f>IF(E24&gt;0, F24/E24, 0)</f>
        <v/>
      </c>
      <c r="I24" s="33" t="inlineStr">
        <is>
          <t>Completo</t>
        </is>
      </c>
    </row>
    <row r="25" ht="20" customHeight="1">
      <c r="A25" s="10" t="inlineStr">
        <is>
          <t>10/07/2026</t>
        </is>
      </c>
      <c r="B25" s="32" t="n">
        <v>3491</v>
      </c>
      <c r="C25" s="12" t="inlineStr">
        <is>
          <t>ANTONELLA</t>
        </is>
      </c>
      <c r="D25" s="12" t="inlineStr">
        <is>
          <t>GRIS</t>
        </is>
      </c>
      <c r="E25" s="13" t="n">
        <v>12</v>
      </c>
      <c r="F25" s="13" t="n">
        <v>12</v>
      </c>
      <c r="G25" s="13">
        <f>E25-F25</f>
        <v/>
      </c>
      <c r="H25" s="21">
        <f>IF(E25&gt;0, F25/E25, 0)</f>
        <v/>
      </c>
      <c r="I25" s="33" t="inlineStr">
        <is>
          <t>Completo</t>
        </is>
      </c>
    </row>
    <row r="26" ht="20" customHeight="1">
      <c r="A26" s="16" t="inlineStr">
        <is>
          <t>10/07/2026</t>
        </is>
      </c>
      <c r="B26" s="34" t="n">
        <v>3492</v>
      </c>
      <c r="C26" s="18" t="inlineStr">
        <is>
          <t>ANTONELLA</t>
        </is>
      </c>
      <c r="D26" s="18" t="inlineStr">
        <is>
          <t>GRIS</t>
        </is>
      </c>
      <c r="E26" s="19" t="n">
        <v>12</v>
      </c>
      <c r="F26" s="19" t="n">
        <v>12</v>
      </c>
      <c r="G26" s="19">
        <f>E26-F26</f>
        <v/>
      </c>
      <c r="H26" s="35">
        <f>IF(E26&gt;0, F26/E26, 0)</f>
        <v/>
      </c>
      <c r="I26" s="33" t="inlineStr">
        <is>
          <t>Completo</t>
        </is>
      </c>
    </row>
    <row r="27" ht="20" customHeight="1">
      <c r="A27" s="10" t="inlineStr">
        <is>
          <t>10/07/2026</t>
        </is>
      </c>
      <c r="B27" s="32" t="n">
        <v>3493</v>
      </c>
      <c r="C27" s="12" t="inlineStr">
        <is>
          <t>ANTONELLA</t>
        </is>
      </c>
      <c r="D27" s="12" t="inlineStr">
        <is>
          <t>GRIS</t>
        </is>
      </c>
      <c r="E27" s="13" t="n">
        <v>12</v>
      </c>
      <c r="F27" s="13" t="n">
        <v>7</v>
      </c>
      <c r="G27" s="13">
        <f>E27-F27</f>
        <v/>
      </c>
      <c r="H27" s="21">
        <f>IF(E27&gt;0, F27/E27, 0)</f>
        <v/>
      </c>
      <c r="I27" s="36" t="inlineStr">
        <is>
          <t>Pendiente</t>
        </is>
      </c>
    </row>
    <row r="28" ht="20" customHeight="1">
      <c r="A28" s="16" t="inlineStr">
        <is>
          <t>10/07/2026</t>
        </is>
      </c>
      <c r="B28" s="34" t="n">
        <v>3494</v>
      </c>
      <c r="C28" s="18" t="inlineStr">
        <is>
          <t>ANTONELLA</t>
        </is>
      </c>
      <c r="D28" s="18" t="inlineStr">
        <is>
          <t>GRIS</t>
        </is>
      </c>
      <c r="E28" s="19" t="n">
        <v>12</v>
      </c>
      <c r="F28" s="19" t="n">
        <v>10</v>
      </c>
      <c r="G28" s="19">
        <f>E28-F28</f>
        <v/>
      </c>
      <c r="H28" s="35">
        <f>IF(E28&gt;0, F28/E28, 0)</f>
        <v/>
      </c>
      <c r="I28" s="36" t="inlineStr">
        <is>
          <t>Pendiente</t>
        </is>
      </c>
    </row>
    <row r="29" ht="20" customHeight="1">
      <c r="A29" s="10" t="inlineStr">
        <is>
          <t>10/07/2026</t>
        </is>
      </c>
      <c r="B29" s="32" t="n">
        <v>3484</v>
      </c>
      <c r="C29" s="12" t="inlineStr">
        <is>
          <t>ANTONELLA</t>
        </is>
      </c>
      <c r="D29" s="12" t="inlineStr">
        <is>
          <t>NEGRO</t>
        </is>
      </c>
      <c r="E29" s="13" t="n">
        <v>12</v>
      </c>
      <c r="F29" s="13" t="n">
        <v>12</v>
      </c>
      <c r="G29" s="13">
        <f>E29-F29</f>
        <v/>
      </c>
      <c r="H29" s="21">
        <f>IF(E29&gt;0, F29/E29, 0)</f>
        <v/>
      </c>
      <c r="I29" s="36" t="inlineStr">
        <is>
          <t>Pendiente</t>
        </is>
      </c>
    </row>
    <row r="30" ht="20" customHeight="1">
      <c r="A30" s="16" t="inlineStr">
        <is>
          <t>10/07/2026</t>
        </is>
      </c>
      <c r="B30" s="34" t="n">
        <v>3485</v>
      </c>
      <c r="C30" s="18" t="inlineStr">
        <is>
          <t>ANTONELLA</t>
        </is>
      </c>
      <c r="D30" s="18" t="inlineStr">
        <is>
          <t>NEGRO</t>
        </is>
      </c>
      <c r="E30" s="19" t="n">
        <v>12</v>
      </c>
      <c r="F30" s="19" t="n">
        <v>0</v>
      </c>
      <c r="G30" s="19">
        <f>E30-F30</f>
        <v/>
      </c>
      <c r="H30" s="35">
        <f>IF(E30&gt;0, F30/E30, 0)</f>
        <v/>
      </c>
      <c r="I30" s="36" t="inlineStr">
        <is>
          <t>Pendiente</t>
        </is>
      </c>
    </row>
    <row r="31" ht="20" customHeight="1">
      <c r="A31" s="10" t="inlineStr">
        <is>
          <t>10/07/2026</t>
        </is>
      </c>
      <c r="B31" s="32" t="n">
        <v>3486</v>
      </c>
      <c r="C31" s="12" t="inlineStr">
        <is>
          <t>ANTONELLA</t>
        </is>
      </c>
      <c r="D31" s="12" t="inlineStr">
        <is>
          <t>NEGRO</t>
        </is>
      </c>
      <c r="E31" s="13" t="n">
        <v>12</v>
      </c>
      <c r="F31" s="13" t="n">
        <v>12</v>
      </c>
      <c r="G31" s="13">
        <f>E31-F31</f>
        <v/>
      </c>
      <c r="H31" s="21">
        <f>IF(E31&gt;0, F31/E31, 0)</f>
        <v/>
      </c>
      <c r="I31" s="36" t="inlineStr">
        <is>
          <t>Pendiente</t>
        </is>
      </c>
    </row>
    <row r="32" ht="20" customHeight="1">
      <c r="A32" s="16" t="inlineStr">
        <is>
          <t>10/07/2026</t>
        </is>
      </c>
      <c r="B32" s="34" t="n">
        <v>3487</v>
      </c>
      <c r="C32" s="18" t="inlineStr">
        <is>
          <t>ANTONELLA</t>
        </is>
      </c>
      <c r="D32" s="18" t="inlineStr">
        <is>
          <t>NEGRO</t>
        </is>
      </c>
      <c r="E32" s="19" t="n">
        <v>12</v>
      </c>
      <c r="F32" s="19" t="n">
        <v>12</v>
      </c>
      <c r="G32" s="19">
        <f>E32-F32</f>
        <v/>
      </c>
      <c r="H32" s="35">
        <f>IF(E32&gt;0, F32/E32, 0)</f>
        <v/>
      </c>
      <c r="I32" s="33" t="inlineStr">
        <is>
          <t>Completo</t>
        </is>
      </c>
    </row>
    <row r="33" ht="20" customHeight="1">
      <c r="A33" s="10" t="inlineStr">
        <is>
          <t>10/07/2026</t>
        </is>
      </c>
      <c r="B33" s="32" t="n">
        <v>3488</v>
      </c>
      <c r="C33" s="12" t="inlineStr">
        <is>
          <t>ANTONELLA</t>
        </is>
      </c>
      <c r="D33" s="12" t="inlineStr">
        <is>
          <t>NEGRO</t>
        </is>
      </c>
      <c r="E33" s="13" t="n">
        <v>12</v>
      </c>
      <c r="F33" s="13" t="n">
        <v>9</v>
      </c>
      <c r="G33" s="13">
        <f>E33-F33</f>
        <v/>
      </c>
      <c r="H33" s="21">
        <f>IF(E33&gt;0, F33/E33, 0)</f>
        <v/>
      </c>
      <c r="I33" s="36" t="inlineStr">
        <is>
          <t>Pendiente</t>
        </is>
      </c>
    </row>
    <row r="34" ht="20" customHeight="1">
      <c r="A34" s="16" t="inlineStr">
        <is>
          <t>10/07/2026</t>
        </is>
      </c>
      <c r="B34" s="34" t="n">
        <v>3489</v>
      </c>
      <c r="C34" s="18" t="inlineStr">
        <is>
          <t>ANTONELLA</t>
        </is>
      </c>
      <c r="D34" s="18" t="inlineStr">
        <is>
          <t>NEGRO</t>
        </is>
      </c>
      <c r="E34" s="19" t="n">
        <v>12</v>
      </c>
      <c r="F34" s="19" t="n">
        <v>12</v>
      </c>
      <c r="G34" s="19">
        <f>E34-F34</f>
        <v/>
      </c>
      <c r="H34" s="35">
        <f>IF(E34&gt;0, F34/E34, 0)</f>
        <v/>
      </c>
      <c r="I34" s="33" t="inlineStr">
        <is>
          <t>Completo</t>
        </is>
      </c>
    </row>
    <row r="35" ht="20" customHeight="1">
      <c r="A35" s="10" t="inlineStr">
        <is>
          <t>10/07/2026</t>
        </is>
      </c>
      <c r="B35" s="32" t="n">
        <v>3365</v>
      </c>
      <c r="C35" s="12" t="inlineStr">
        <is>
          <t>CANDELA</t>
        </is>
      </c>
      <c r="D35" s="12" t="inlineStr">
        <is>
          <t>ACERO</t>
        </is>
      </c>
      <c r="E35" s="13" t="n">
        <v>12</v>
      </c>
      <c r="F35" s="13" t="n">
        <v>12</v>
      </c>
      <c r="G35" s="13">
        <f>E35-F35</f>
        <v/>
      </c>
      <c r="H35" s="21">
        <f>IF(E35&gt;0, F35/E35, 0)</f>
        <v/>
      </c>
      <c r="I35" s="33" t="inlineStr">
        <is>
          <t>Completo</t>
        </is>
      </c>
    </row>
    <row r="36" ht="20" customHeight="1">
      <c r="A36" s="16" t="inlineStr">
        <is>
          <t>10/07/2026</t>
        </is>
      </c>
      <c r="B36" s="34" t="n">
        <v>3366</v>
      </c>
      <c r="C36" s="18" t="inlineStr">
        <is>
          <t>CANDELA</t>
        </is>
      </c>
      <c r="D36" s="18" t="inlineStr">
        <is>
          <t>ACERO</t>
        </is>
      </c>
      <c r="E36" s="19" t="n">
        <v>12</v>
      </c>
      <c r="F36" s="19" t="n">
        <v>12</v>
      </c>
      <c r="G36" s="19">
        <f>E36-F36</f>
        <v/>
      </c>
      <c r="H36" s="35">
        <f>IF(E36&gt;0, F36/E36, 0)</f>
        <v/>
      </c>
      <c r="I36" s="33" t="inlineStr">
        <is>
          <t>Completo</t>
        </is>
      </c>
    </row>
    <row r="37" ht="20" customHeight="1">
      <c r="A37" s="10" t="inlineStr">
        <is>
          <t>10/07/2026</t>
        </is>
      </c>
      <c r="B37" s="32" t="n">
        <v>3367</v>
      </c>
      <c r="C37" s="12" t="inlineStr">
        <is>
          <t>CANDELA</t>
        </is>
      </c>
      <c r="D37" s="12" t="inlineStr">
        <is>
          <t>ACERO</t>
        </is>
      </c>
      <c r="E37" s="13" t="n">
        <v>12</v>
      </c>
      <c r="F37" s="13" t="n">
        <v>10</v>
      </c>
      <c r="G37" s="13">
        <f>E37-F37</f>
        <v/>
      </c>
      <c r="H37" s="21">
        <f>IF(E37&gt;0, F37/E37, 0)</f>
        <v/>
      </c>
      <c r="I37" s="36" t="inlineStr">
        <is>
          <t>Pendiente</t>
        </is>
      </c>
    </row>
    <row r="38" ht="20" customHeight="1">
      <c r="A38" s="16" t="inlineStr">
        <is>
          <t>10/07/2026</t>
        </is>
      </c>
      <c r="B38" s="34" t="n">
        <v>3368</v>
      </c>
      <c r="C38" s="18" t="inlineStr">
        <is>
          <t>CANDELA</t>
        </is>
      </c>
      <c r="D38" s="18" t="inlineStr">
        <is>
          <t>ACERO</t>
        </is>
      </c>
      <c r="E38" s="19" t="n">
        <v>12</v>
      </c>
      <c r="F38" s="19" t="n">
        <v>12</v>
      </c>
      <c r="G38" s="19">
        <f>E38-F38</f>
        <v/>
      </c>
      <c r="H38" s="35">
        <f>IF(E38&gt;0, F38/E38, 0)</f>
        <v/>
      </c>
      <c r="I38" s="36" t="inlineStr">
        <is>
          <t>Pendiente</t>
        </is>
      </c>
    </row>
    <row r="39" ht="20" customHeight="1">
      <c r="A39" s="10" t="inlineStr">
        <is>
          <t>10/07/2026</t>
        </is>
      </c>
      <c r="B39" s="32" t="n">
        <v>3360</v>
      </c>
      <c r="C39" s="12" t="inlineStr">
        <is>
          <t>CANDELA</t>
        </is>
      </c>
      <c r="D39" s="12" t="inlineStr">
        <is>
          <t>MARRON</t>
        </is>
      </c>
      <c r="E39" s="13" t="n">
        <v>12</v>
      </c>
      <c r="F39" s="13" t="n">
        <v>10</v>
      </c>
      <c r="G39" s="13">
        <f>E39-F39</f>
        <v/>
      </c>
      <c r="H39" s="21">
        <f>IF(E39&gt;0, F39/E39, 0)</f>
        <v/>
      </c>
      <c r="I39" s="36" t="inlineStr">
        <is>
          <t>Pendiente</t>
        </is>
      </c>
    </row>
    <row r="40" ht="20" customHeight="1">
      <c r="A40" s="16" t="inlineStr">
        <is>
          <t>10/07/2026</t>
        </is>
      </c>
      <c r="B40" s="34" t="n">
        <v>3361</v>
      </c>
      <c r="C40" s="18" t="inlineStr">
        <is>
          <t>CANDELA</t>
        </is>
      </c>
      <c r="D40" s="18" t="inlineStr">
        <is>
          <t>MARRON</t>
        </is>
      </c>
      <c r="E40" s="19" t="n">
        <v>12</v>
      </c>
      <c r="F40" s="19" t="n">
        <v>9</v>
      </c>
      <c r="G40" s="19">
        <f>E40-F40</f>
        <v/>
      </c>
      <c r="H40" s="35">
        <f>IF(E40&gt;0, F40/E40, 0)</f>
        <v/>
      </c>
      <c r="I40" s="36" t="inlineStr">
        <is>
          <t>Pendiente</t>
        </is>
      </c>
    </row>
    <row r="41" ht="20" customHeight="1">
      <c r="A41" s="10" t="inlineStr">
        <is>
          <t>10/07/2026</t>
        </is>
      </c>
      <c r="B41" s="32" t="n">
        <v>3362</v>
      </c>
      <c r="C41" s="12" t="inlineStr">
        <is>
          <t>CANDELA</t>
        </is>
      </c>
      <c r="D41" s="12" t="inlineStr">
        <is>
          <t>MARRON</t>
        </is>
      </c>
      <c r="E41" s="13" t="n">
        <v>12</v>
      </c>
      <c r="F41" s="13" t="n">
        <v>10</v>
      </c>
      <c r="G41" s="13">
        <f>E41-F41</f>
        <v/>
      </c>
      <c r="H41" s="21">
        <f>IF(E41&gt;0, F41/E41, 0)</f>
        <v/>
      </c>
      <c r="I41" s="36" t="inlineStr">
        <is>
          <t>Pendiente</t>
        </is>
      </c>
    </row>
    <row r="42" ht="20" customHeight="1">
      <c r="A42" s="16" t="inlineStr">
        <is>
          <t>10/07/2026</t>
        </is>
      </c>
      <c r="B42" s="34" t="n">
        <v>3363</v>
      </c>
      <c r="C42" s="18" t="inlineStr">
        <is>
          <t>CANDELA</t>
        </is>
      </c>
      <c r="D42" s="18" t="inlineStr">
        <is>
          <t>MARRON</t>
        </is>
      </c>
      <c r="E42" s="19" t="n">
        <v>12</v>
      </c>
      <c r="F42" s="19" t="n">
        <v>10</v>
      </c>
      <c r="G42" s="19">
        <f>E42-F42</f>
        <v/>
      </c>
      <c r="H42" s="35">
        <f>IF(E42&gt;0, F42/E42, 0)</f>
        <v/>
      </c>
      <c r="I42" s="36" t="inlineStr">
        <is>
          <t>Pendiente</t>
        </is>
      </c>
    </row>
    <row r="43" ht="20" customHeight="1">
      <c r="A43" s="10" t="inlineStr">
        <is>
          <t>10/07/2026</t>
        </is>
      </c>
      <c r="B43" s="32" t="n">
        <v>3364</v>
      </c>
      <c r="C43" s="12" t="inlineStr">
        <is>
          <t>CANDELA</t>
        </is>
      </c>
      <c r="D43" s="12" t="inlineStr">
        <is>
          <t>MARRON</t>
        </is>
      </c>
      <c r="E43" s="13" t="n">
        <v>12</v>
      </c>
      <c r="F43" s="13" t="n">
        <v>12</v>
      </c>
      <c r="G43" s="13">
        <f>E43-F43</f>
        <v/>
      </c>
      <c r="H43" s="21">
        <f>IF(E43&gt;0, F43/E43, 0)</f>
        <v/>
      </c>
      <c r="I43" s="33" t="inlineStr">
        <is>
          <t>Completo</t>
        </is>
      </c>
    </row>
    <row r="44" ht="20" customHeight="1">
      <c r="A44" s="16" t="inlineStr">
        <is>
          <t>10/07/2026</t>
        </is>
      </c>
      <c r="B44" s="34" t="n">
        <v>3354</v>
      </c>
      <c r="C44" s="18" t="inlineStr">
        <is>
          <t>CANDELA</t>
        </is>
      </c>
      <c r="D44" s="18" t="inlineStr">
        <is>
          <t>NEGRO</t>
        </is>
      </c>
      <c r="E44" s="19" t="n">
        <v>12</v>
      </c>
      <c r="F44" s="19" t="n">
        <v>12</v>
      </c>
      <c r="G44" s="19">
        <f>E44-F44</f>
        <v/>
      </c>
      <c r="H44" s="35">
        <f>IF(E44&gt;0, F44/E44, 0)</f>
        <v/>
      </c>
      <c r="I44" s="33" t="inlineStr">
        <is>
          <t>Completo</t>
        </is>
      </c>
    </row>
    <row r="45" ht="20" customHeight="1">
      <c r="A45" s="10" t="inlineStr">
        <is>
          <t>10/07/2026</t>
        </is>
      </c>
      <c r="B45" s="32" t="n">
        <v>3355</v>
      </c>
      <c r="C45" s="12" t="inlineStr">
        <is>
          <t>CANDELA</t>
        </is>
      </c>
      <c r="D45" s="12" t="inlineStr">
        <is>
          <t>NEGRO</t>
        </is>
      </c>
      <c r="E45" s="13" t="n">
        <v>12</v>
      </c>
      <c r="F45" s="13" t="n">
        <v>12</v>
      </c>
      <c r="G45" s="13">
        <f>E45-F45</f>
        <v/>
      </c>
      <c r="H45" s="21">
        <f>IF(E45&gt;0, F45/E45, 0)</f>
        <v/>
      </c>
      <c r="I45" s="33" t="inlineStr">
        <is>
          <t>Completo</t>
        </is>
      </c>
    </row>
    <row r="46" ht="20" customHeight="1">
      <c r="A46" s="16" t="inlineStr">
        <is>
          <t>10/07/2026</t>
        </is>
      </c>
      <c r="B46" s="34" t="n">
        <v>3356</v>
      </c>
      <c r="C46" s="18" t="inlineStr">
        <is>
          <t>CANDELA</t>
        </is>
      </c>
      <c r="D46" s="18" t="inlineStr">
        <is>
          <t>NEGRO</t>
        </is>
      </c>
      <c r="E46" s="19" t="n">
        <v>12</v>
      </c>
      <c r="F46" s="19" t="n">
        <v>12</v>
      </c>
      <c r="G46" s="19">
        <f>E46-F46</f>
        <v/>
      </c>
      <c r="H46" s="35">
        <f>IF(E46&gt;0, F46/E46, 0)</f>
        <v/>
      </c>
      <c r="I46" s="33" t="inlineStr">
        <is>
          <t>Completo</t>
        </is>
      </c>
    </row>
    <row r="47" ht="20" customHeight="1">
      <c r="A47" s="10" t="inlineStr">
        <is>
          <t>10/07/2026</t>
        </is>
      </c>
      <c r="B47" s="32" t="n">
        <v>3357</v>
      </c>
      <c r="C47" s="12" t="inlineStr">
        <is>
          <t>CANDELA</t>
        </is>
      </c>
      <c r="D47" s="12" t="inlineStr">
        <is>
          <t>NEGRO</t>
        </is>
      </c>
      <c r="E47" s="13" t="n">
        <v>12</v>
      </c>
      <c r="F47" s="13" t="n">
        <v>12</v>
      </c>
      <c r="G47" s="13">
        <f>E47-F47</f>
        <v/>
      </c>
      <c r="H47" s="21">
        <f>IF(E47&gt;0, F47/E47, 0)</f>
        <v/>
      </c>
      <c r="I47" s="33" t="inlineStr">
        <is>
          <t>Completo</t>
        </is>
      </c>
    </row>
    <row r="48" ht="20" customHeight="1">
      <c r="A48" s="16" t="inlineStr">
        <is>
          <t>10/07/2026</t>
        </is>
      </c>
      <c r="B48" s="34" t="n">
        <v>3358</v>
      </c>
      <c r="C48" s="18" t="inlineStr">
        <is>
          <t>CANDELA</t>
        </is>
      </c>
      <c r="D48" s="18" t="inlineStr">
        <is>
          <t>NEGRO</t>
        </is>
      </c>
      <c r="E48" s="19" t="n">
        <v>12</v>
      </c>
      <c r="F48" s="19" t="n">
        <v>12</v>
      </c>
      <c r="G48" s="19">
        <f>E48-F48</f>
        <v/>
      </c>
      <c r="H48" s="35">
        <f>IF(E48&gt;0, F48/E48, 0)</f>
        <v/>
      </c>
      <c r="I48" s="33" t="inlineStr">
        <is>
          <t>Completo</t>
        </is>
      </c>
    </row>
    <row r="49" ht="20" customHeight="1">
      <c r="A49" s="10" t="inlineStr">
        <is>
          <t>10/07/2026</t>
        </is>
      </c>
      <c r="B49" s="32" t="n">
        <v>3359</v>
      </c>
      <c r="C49" s="12" t="inlineStr">
        <is>
          <t>CANDELA</t>
        </is>
      </c>
      <c r="D49" s="12" t="inlineStr">
        <is>
          <t>NEGRO</t>
        </is>
      </c>
      <c r="E49" s="13" t="n">
        <v>12</v>
      </c>
      <c r="F49" s="13" t="n">
        <v>12</v>
      </c>
      <c r="G49" s="13">
        <f>E49-F49</f>
        <v/>
      </c>
      <c r="H49" s="21">
        <f>IF(E49&gt;0, F49/E49, 0)</f>
        <v/>
      </c>
      <c r="I49" s="33" t="inlineStr">
        <is>
          <t>Completo</t>
        </is>
      </c>
    </row>
    <row r="50" ht="20" customHeight="1">
      <c r="A50" s="16" t="inlineStr">
        <is>
          <t>10/07/2026</t>
        </is>
      </c>
      <c r="B50" s="34" t="n">
        <v>3448</v>
      </c>
      <c r="C50" s="18" t="inlineStr">
        <is>
          <t>CRISTINA</t>
        </is>
      </c>
      <c r="D50" s="18" t="inlineStr">
        <is>
          <t>NUDE</t>
        </is>
      </c>
      <c r="E50" s="19" t="n">
        <v>12</v>
      </c>
      <c r="F50" s="19" t="n">
        <v>12</v>
      </c>
      <c r="G50" s="19">
        <f>E50-F50</f>
        <v/>
      </c>
      <c r="H50" s="35">
        <f>IF(E50&gt;0, F50/E50, 0)</f>
        <v/>
      </c>
      <c r="I50" s="33" t="inlineStr">
        <is>
          <t>Completo</t>
        </is>
      </c>
    </row>
    <row r="51" ht="20" customHeight="1">
      <c r="A51" s="10" t="inlineStr">
        <is>
          <t>10/07/2026</t>
        </is>
      </c>
      <c r="B51" s="32" t="n">
        <v>3449</v>
      </c>
      <c r="C51" s="12" t="inlineStr">
        <is>
          <t>CRISTINA</t>
        </is>
      </c>
      <c r="D51" s="12" t="inlineStr">
        <is>
          <t>NUDE</t>
        </is>
      </c>
      <c r="E51" s="13" t="n">
        <v>12</v>
      </c>
      <c r="F51" s="13" t="n">
        <v>12</v>
      </c>
      <c r="G51" s="13">
        <f>E51-F51</f>
        <v/>
      </c>
      <c r="H51" s="21">
        <f>IF(E51&gt;0, F51/E51, 0)</f>
        <v/>
      </c>
      <c r="I51" s="33" t="inlineStr">
        <is>
          <t>Completo</t>
        </is>
      </c>
    </row>
    <row r="52" ht="20" customHeight="1">
      <c r="A52" s="16" t="inlineStr">
        <is>
          <t>10/07/2026</t>
        </is>
      </c>
      <c r="B52" s="34" t="n">
        <v>3444</v>
      </c>
      <c r="C52" s="18" t="inlineStr">
        <is>
          <t>CRISTINA</t>
        </is>
      </c>
      <c r="D52" s="18" t="inlineStr">
        <is>
          <t>PLATA QUEMADA</t>
        </is>
      </c>
      <c r="E52" s="19" t="n">
        <v>12</v>
      </c>
      <c r="F52" s="19" t="n">
        <v>8</v>
      </c>
      <c r="G52" s="19">
        <f>E52-F52</f>
        <v/>
      </c>
      <c r="H52" s="35">
        <f>IF(E52&gt;0, F52/E52, 0)</f>
        <v/>
      </c>
      <c r="I52" s="36" t="inlineStr">
        <is>
          <t>Pendiente</t>
        </is>
      </c>
    </row>
    <row r="53" ht="20" customHeight="1">
      <c r="A53" s="10" t="inlineStr">
        <is>
          <t>10/07/2026</t>
        </is>
      </c>
      <c r="B53" s="32" t="n">
        <v>3445</v>
      </c>
      <c r="C53" s="12" t="inlineStr">
        <is>
          <t>CRISTINA</t>
        </is>
      </c>
      <c r="D53" s="12" t="inlineStr">
        <is>
          <t>PLATA QUEMADA</t>
        </is>
      </c>
      <c r="E53" s="13" t="n">
        <v>12</v>
      </c>
      <c r="F53" s="13" t="n">
        <v>7</v>
      </c>
      <c r="G53" s="13">
        <f>E53-F53</f>
        <v/>
      </c>
      <c r="H53" s="21">
        <f>IF(E53&gt;0, F53/E53, 0)</f>
        <v/>
      </c>
      <c r="I53" s="36" t="inlineStr">
        <is>
          <t>Pendiente</t>
        </is>
      </c>
    </row>
    <row r="54" ht="20" customHeight="1">
      <c r="A54" s="16" t="inlineStr">
        <is>
          <t>10/07/2026</t>
        </is>
      </c>
      <c r="B54" s="34" t="n">
        <v>3446</v>
      </c>
      <c r="C54" s="18" t="inlineStr">
        <is>
          <t>CRISTINA</t>
        </is>
      </c>
      <c r="D54" s="18" t="inlineStr">
        <is>
          <t>PLATA QUEMADA</t>
        </is>
      </c>
      <c r="E54" s="19" t="n">
        <v>12</v>
      </c>
      <c r="F54" s="19" t="n">
        <v>10</v>
      </c>
      <c r="G54" s="19">
        <f>E54-F54</f>
        <v/>
      </c>
      <c r="H54" s="35">
        <f>IF(E54&gt;0, F54/E54, 0)</f>
        <v/>
      </c>
      <c r="I54" s="36" t="inlineStr">
        <is>
          <t>Pendiente</t>
        </is>
      </c>
    </row>
    <row r="55" ht="20" customHeight="1">
      <c r="A55" s="10" t="inlineStr">
        <is>
          <t>10/07/2026</t>
        </is>
      </c>
      <c r="B55" s="32" t="n">
        <v>3447</v>
      </c>
      <c r="C55" s="12" t="inlineStr">
        <is>
          <t>CRISTINA</t>
        </is>
      </c>
      <c r="D55" s="12" t="inlineStr">
        <is>
          <t>PLATA QUEMADA</t>
        </is>
      </c>
      <c r="E55" s="13" t="n">
        <v>12</v>
      </c>
      <c r="F55" s="13" t="n">
        <v>11</v>
      </c>
      <c r="G55" s="13">
        <f>E55-F55</f>
        <v/>
      </c>
      <c r="H55" s="21">
        <f>IF(E55&gt;0, F55/E55, 0)</f>
        <v/>
      </c>
      <c r="I55" s="36" t="inlineStr">
        <is>
          <t>Pendiente</t>
        </is>
      </c>
    </row>
    <row r="56" ht="20" customHeight="1">
      <c r="A56" s="16" t="inlineStr">
        <is>
          <t>10/07/2026</t>
        </is>
      </c>
      <c r="B56" s="34" t="n">
        <v>3450</v>
      </c>
      <c r="C56" s="18" t="inlineStr">
        <is>
          <t>CRISTINA</t>
        </is>
      </c>
      <c r="D56" s="18" t="inlineStr">
        <is>
          <t>PLATA VIEJO</t>
        </is>
      </c>
      <c r="E56" s="19" t="n">
        <v>12</v>
      </c>
      <c r="F56" s="19" t="n">
        <v>0</v>
      </c>
      <c r="G56" s="19">
        <f>E56-F56</f>
        <v/>
      </c>
      <c r="H56" s="35">
        <f>IF(E56&gt;0, F56/E56, 0)</f>
        <v/>
      </c>
      <c r="I56" s="36" t="inlineStr">
        <is>
          <t>Pendiente</t>
        </is>
      </c>
    </row>
    <row r="57" ht="20" customHeight="1">
      <c r="A57" s="10" t="inlineStr">
        <is>
          <t>10/07/2026</t>
        </is>
      </c>
      <c r="B57" s="32" t="n">
        <v>3451</v>
      </c>
      <c r="C57" s="12" t="inlineStr">
        <is>
          <t>CRISTINA</t>
        </is>
      </c>
      <c r="D57" s="12" t="inlineStr">
        <is>
          <t>PLATA VIEJO</t>
        </is>
      </c>
      <c r="E57" s="13" t="n">
        <v>12</v>
      </c>
      <c r="F57" s="13" t="n">
        <v>12</v>
      </c>
      <c r="G57" s="13">
        <f>E57-F57</f>
        <v/>
      </c>
      <c r="H57" s="21">
        <f>IF(E57&gt;0, F57/E57, 0)</f>
        <v/>
      </c>
      <c r="I57" s="33" t="inlineStr">
        <is>
          <t>Completo</t>
        </is>
      </c>
    </row>
    <row r="58" ht="20" customHeight="1">
      <c r="A58" s="16" t="inlineStr">
        <is>
          <t>10/07/2026</t>
        </is>
      </c>
      <c r="B58" s="34" t="n">
        <v>3452</v>
      </c>
      <c r="C58" s="18" t="inlineStr">
        <is>
          <t>CRISTINA</t>
        </is>
      </c>
      <c r="D58" s="18" t="inlineStr">
        <is>
          <t>PLATA VIEJO</t>
        </is>
      </c>
      <c r="E58" s="19" t="n">
        <v>12</v>
      </c>
      <c r="F58" s="19" t="n">
        <v>0</v>
      </c>
      <c r="G58" s="19">
        <f>E58-F58</f>
        <v/>
      </c>
      <c r="H58" s="35">
        <f>IF(E58&gt;0, F58/E58, 0)</f>
        <v/>
      </c>
      <c r="I58" s="36" t="inlineStr">
        <is>
          <t>Pendiente</t>
        </is>
      </c>
    </row>
    <row r="59" ht="20" customHeight="1">
      <c r="A59" s="10" t="inlineStr">
        <is>
          <t>10/07/2026</t>
        </is>
      </c>
      <c r="B59" s="32" t="n">
        <v>3453</v>
      </c>
      <c r="C59" s="12" t="inlineStr">
        <is>
          <t>CRISTINA</t>
        </is>
      </c>
      <c r="D59" s="12" t="inlineStr">
        <is>
          <t>PLATA VIEJO</t>
        </is>
      </c>
      <c r="E59" s="13" t="n">
        <v>12</v>
      </c>
      <c r="F59" s="13" t="n">
        <v>11</v>
      </c>
      <c r="G59" s="13">
        <f>E59-F59</f>
        <v/>
      </c>
      <c r="H59" s="21">
        <f>IF(E59&gt;0, F59/E59, 0)</f>
        <v/>
      </c>
      <c r="I59" s="36" t="inlineStr">
        <is>
          <t>Pendiente</t>
        </is>
      </c>
    </row>
    <row r="60" ht="20" customHeight="1">
      <c r="A60" s="16" t="inlineStr">
        <is>
          <t>10/07/2026</t>
        </is>
      </c>
      <c r="B60" s="34" t="n">
        <v>3440</v>
      </c>
      <c r="C60" s="18" t="inlineStr">
        <is>
          <t>INES</t>
        </is>
      </c>
      <c r="D60" s="18" t="inlineStr">
        <is>
          <t>MARRON</t>
        </is>
      </c>
      <c r="E60" s="19" t="n">
        <v>12</v>
      </c>
      <c r="F60" s="19" t="n">
        <v>11</v>
      </c>
      <c r="G60" s="19">
        <f>E60-F60</f>
        <v/>
      </c>
      <c r="H60" s="35">
        <f>IF(E60&gt;0, F60/E60, 0)</f>
        <v/>
      </c>
      <c r="I60" s="36" t="inlineStr">
        <is>
          <t>Pendiente</t>
        </is>
      </c>
    </row>
    <row r="61" ht="20" customHeight="1">
      <c r="A61" s="10" t="inlineStr">
        <is>
          <t>10/07/2026</t>
        </is>
      </c>
      <c r="B61" s="32" t="n">
        <v>3441</v>
      </c>
      <c r="C61" s="12" t="inlineStr">
        <is>
          <t>INES</t>
        </is>
      </c>
      <c r="D61" s="12" t="inlineStr">
        <is>
          <t>MARRON</t>
        </is>
      </c>
      <c r="E61" s="13" t="n">
        <v>12</v>
      </c>
      <c r="F61" s="13" t="n">
        <v>12</v>
      </c>
      <c r="G61" s="13">
        <f>E61-F61</f>
        <v/>
      </c>
      <c r="H61" s="21">
        <f>IF(E61&gt;0, F61/E61, 0)</f>
        <v/>
      </c>
      <c r="I61" s="33" t="inlineStr">
        <is>
          <t>Completo</t>
        </is>
      </c>
    </row>
    <row r="62" ht="20" customHeight="1">
      <c r="A62" s="16" t="inlineStr">
        <is>
          <t>10/07/2026</t>
        </is>
      </c>
      <c r="B62" s="34" t="n">
        <v>3442</v>
      </c>
      <c r="C62" s="18" t="inlineStr">
        <is>
          <t>INES</t>
        </is>
      </c>
      <c r="D62" s="18" t="inlineStr">
        <is>
          <t>MARRON</t>
        </is>
      </c>
      <c r="E62" s="19" t="n">
        <v>12</v>
      </c>
      <c r="F62" s="19" t="n">
        <v>12</v>
      </c>
      <c r="G62" s="19">
        <f>E62-F62</f>
        <v/>
      </c>
      <c r="H62" s="35">
        <f>IF(E62&gt;0, F62/E62, 0)</f>
        <v/>
      </c>
      <c r="I62" s="33" t="inlineStr">
        <is>
          <t>Completo</t>
        </is>
      </c>
    </row>
    <row r="63" ht="20" customHeight="1">
      <c r="A63" s="10" t="inlineStr">
        <is>
          <t>10/07/2026</t>
        </is>
      </c>
      <c r="B63" s="32" t="n">
        <v>3443</v>
      </c>
      <c r="C63" s="12" t="inlineStr">
        <is>
          <t>INES</t>
        </is>
      </c>
      <c r="D63" s="12" t="inlineStr">
        <is>
          <t>MARRON</t>
        </is>
      </c>
      <c r="E63" s="13" t="n">
        <v>12</v>
      </c>
      <c r="F63" s="13" t="n">
        <v>8</v>
      </c>
      <c r="G63" s="13">
        <f>E63-F63</f>
        <v/>
      </c>
      <c r="H63" s="21">
        <f>IF(E63&gt;0, F63/E63, 0)</f>
        <v/>
      </c>
      <c r="I63" s="36" t="inlineStr">
        <is>
          <t>Pendiente</t>
        </is>
      </c>
    </row>
    <row r="64" ht="20" customHeight="1">
      <c r="A64" s="16" t="inlineStr">
        <is>
          <t>10/07/2026</t>
        </is>
      </c>
      <c r="B64" s="34" t="n">
        <v>3429</v>
      </c>
      <c r="C64" s="18" t="inlineStr">
        <is>
          <t>INES</t>
        </is>
      </c>
      <c r="D64" s="18" t="inlineStr">
        <is>
          <t>NEGRO</t>
        </is>
      </c>
      <c r="E64" s="19" t="n">
        <v>12</v>
      </c>
      <c r="F64" s="19" t="n">
        <v>0</v>
      </c>
      <c r="G64" s="19">
        <f>E64-F64</f>
        <v/>
      </c>
      <c r="H64" s="35">
        <f>IF(E64&gt;0, F64/E64, 0)</f>
        <v/>
      </c>
      <c r="I64" s="36" t="inlineStr">
        <is>
          <t>Pendiente</t>
        </is>
      </c>
    </row>
    <row r="65" ht="20" customHeight="1">
      <c r="A65" s="10" t="inlineStr">
        <is>
          <t>10/07/2026</t>
        </is>
      </c>
      <c r="B65" s="32" t="n">
        <v>3430</v>
      </c>
      <c r="C65" s="12" t="inlineStr">
        <is>
          <t>INES</t>
        </is>
      </c>
      <c r="D65" s="12" t="inlineStr">
        <is>
          <t>NEGRO</t>
        </is>
      </c>
      <c r="E65" s="13" t="n">
        <v>12</v>
      </c>
      <c r="F65" s="13" t="n">
        <v>11</v>
      </c>
      <c r="G65" s="13">
        <f>E65-F65</f>
        <v/>
      </c>
      <c r="H65" s="21">
        <f>IF(E65&gt;0, F65/E65, 0)</f>
        <v/>
      </c>
      <c r="I65" s="36" t="inlineStr">
        <is>
          <t>Pendiente</t>
        </is>
      </c>
    </row>
    <row r="66" ht="20" customHeight="1">
      <c r="A66" s="16" t="inlineStr">
        <is>
          <t>10/07/2026</t>
        </is>
      </c>
      <c r="B66" s="34" t="n">
        <v>3431</v>
      </c>
      <c r="C66" s="18" t="inlineStr">
        <is>
          <t>INES</t>
        </is>
      </c>
      <c r="D66" s="18" t="inlineStr">
        <is>
          <t>NEGRO</t>
        </is>
      </c>
      <c r="E66" s="19" t="n">
        <v>12</v>
      </c>
      <c r="F66" s="19" t="n">
        <v>9</v>
      </c>
      <c r="G66" s="19">
        <f>E66-F66</f>
        <v/>
      </c>
      <c r="H66" s="35">
        <f>IF(E66&gt;0, F66/E66, 0)</f>
        <v/>
      </c>
      <c r="I66" s="36" t="inlineStr">
        <is>
          <t>Pendiente</t>
        </is>
      </c>
    </row>
    <row r="67" ht="20" customHeight="1">
      <c r="A67" s="10" t="inlineStr">
        <is>
          <t>10/07/2026</t>
        </is>
      </c>
      <c r="B67" s="32" t="n">
        <v>3432</v>
      </c>
      <c r="C67" s="12" t="inlineStr">
        <is>
          <t>INES</t>
        </is>
      </c>
      <c r="D67" s="12" t="inlineStr">
        <is>
          <t>NEGRO</t>
        </is>
      </c>
      <c r="E67" s="13" t="n">
        <v>12</v>
      </c>
      <c r="F67" s="13" t="n">
        <v>12</v>
      </c>
      <c r="G67" s="13">
        <f>E67-F67</f>
        <v/>
      </c>
      <c r="H67" s="21">
        <f>IF(E67&gt;0, F67/E67, 0)</f>
        <v/>
      </c>
      <c r="I67" s="33" t="inlineStr">
        <is>
          <t>Completo</t>
        </is>
      </c>
    </row>
    <row r="68" ht="20" customHeight="1">
      <c r="A68" s="16" t="inlineStr">
        <is>
          <t>10/07/2026</t>
        </is>
      </c>
      <c r="B68" s="34" t="n">
        <v>3433</v>
      </c>
      <c r="C68" s="18" t="inlineStr">
        <is>
          <t>INES</t>
        </is>
      </c>
      <c r="D68" s="18" t="inlineStr">
        <is>
          <t>NEGRO</t>
        </is>
      </c>
      <c r="E68" s="19" t="n">
        <v>12</v>
      </c>
      <c r="F68" s="19" t="n">
        <v>3</v>
      </c>
      <c r="G68" s="19">
        <f>E68-F68</f>
        <v/>
      </c>
      <c r="H68" s="35">
        <f>IF(E68&gt;0, F68/E68, 0)</f>
        <v/>
      </c>
      <c r="I68" s="36" t="inlineStr">
        <is>
          <t>Pendiente</t>
        </is>
      </c>
    </row>
    <row r="69" ht="20" customHeight="1">
      <c r="A69" s="10" t="inlineStr">
        <is>
          <t>10/07/2026</t>
        </is>
      </c>
      <c r="B69" s="32" t="n">
        <v>3434</v>
      </c>
      <c r="C69" s="12" t="inlineStr">
        <is>
          <t>INES</t>
        </is>
      </c>
      <c r="D69" s="12" t="inlineStr">
        <is>
          <t>NEGRO</t>
        </is>
      </c>
      <c r="E69" s="13" t="n">
        <v>12</v>
      </c>
      <c r="F69" s="13" t="n">
        <v>0</v>
      </c>
      <c r="G69" s="13">
        <f>E69-F69</f>
        <v/>
      </c>
      <c r="H69" s="21">
        <f>IF(E69&gt;0, F69/E69, 0)</f>
        <v/>
      </c>
      <c r="I69" s="36" t="inlineStr">
        <is>
          <t>Pendiente</t>
        </is>
      </c>
    </row>
    <row r="70" ht="20" customHeight="1">
      <c r="A70" s="16" t="inlineStr">
        <is>
          <t>10/07/2026</t>
        </is>
      </c>
      <c r="B70" s="34" t="n">
        <v>3435</v>
      </c>
      <c r="C70" s="18" t="inlineStr">
        <is>
          <t>INES</t>
        </is>
      </c>
      <c r="D70" s="18" t="inlineStr">
        <is>
          <t>VINO</t>
        </is>
      </c>
      <c r="E70" s="19" t="n">
        <v>12</v>
      </c>
      <c r="F70" s="19" t="n">
        <v>12</v>
      </c>
      <c r="G70" s="19">
        <f>E70-F70</f>
        <v/>
      </c>
      <c r="H70" s="35">
        <f>IF(E70&gt;0, F70/E70, 0)</f>
        <v/>
      </c>
      <c r="I70" s="33" t="inlineStr">
        <is>
          <t>Completo</t>
        </is>
      </c>
    </row>
    <row r="71" ht="20" customHeight="1">
      <c r="A71" s="10" t="inlineStr">
        <is>
          <t>10/07/2026</t>
        </is>
      </c>
      <c r="B71" s="32" t="n">
        <v>3436</v>
      </c>
      <c r="C71" s="12" t="inlineStr">
        <is>
          <t>INES</t>
        </is>
      </c>
      <c r="D71" s="12" t="inlineStr">
        <is>
          <t>VINO</t>
        </is>
      </c>
      <c r="E71" s="13" t="n">
        <v>12</v>
      </c>
      <c r="F71" s="13" t="n">
        <v>8</v>
      </c>
      <c r="G71" s="13">
        <f>E71-F71</f>
        <v/>
      </c>
      <c r="H71" s="21">
        <f>IF(E71&gt;0, F71/E71, 0)</f>
        <v/>
      </c>
      <c r="I71" s="36" t="inlineStr">
        <is>
          <t>Pendiente</t>
        </is>
      </c>
    </row>
    <row r="72" ht="20" customHeight="1">
      <c r="A72" s="16" t="inlineStr">
        <is>
          <t>10/07/2026</t>
        </is>
      </c>
      <c r="B72" s="34" t="n">
        <v>3437</v>
      </c>
      <c r="C72" s="18" t="inlineStr">
        <is>
          <t>INES</t>
        </is>
      </c>
      <c r="D72" s="18" t="inlineStr">
        <is>
          <t>VINO</t>
        </is>
      </c>
      <c r="E72" s="19" t="n">
        <v>12</v>
      </c>
      <c r="F72" s="19" t="n">
        <v>11</v>
      </c>
      <c r="G72" s="19">
        <f>E72-F72</f>
        <v/>
      </c>
      <c r="H72" s="35">
        <f>IF(E72&gt;0, F72/E72, 0)</f>
        <v/>
      </c>
      <c r="I72" s="36" t="inlineStr">
        <is>
          <t>Pendiente</t>
        </is>
      </c>
    </row>
    <row r="73" ht="20" customHeight="1">
      <c r="A73" s="10" t="inlineStr">
        <is>
          <t>10/07/2026</t>
        </is>
      </c>
      <c r="B73" s="32" t="n">
        <v>3438</v>
      </c>
      <c r="C73" s="12" t="inlineStr">
        <is>
          <t>INES</t>
        </is>
      </c>
      <c r="D73" s="12" t="inlineStr">
        <is>
          <t>VINO</t>
        </is>
      </c>
      <c r="E73" s="13" t="n">
        <v>12</v>
      </c>
      <c r="F73" s="13" t="n">
        <v>3</v>
      </c>
      <c r="G73" s="13">
        <f>E73-F73</f>
        <v/>
      </c>
      <c r="H73" s="21">
        <f>IF(E73&gt;0, F73/E73, 0)</f>
        <v/>
      </c>
      <c r="I73" s="36" t="inlineStr">
        <is>
          <t>Pendiente</t>
        </is>
      </c>
    </row>
    <row r="74" ht="20" customHeight="1">
      <c r="A74" s="16" t="inlineStr">
        <is>
          <t>10/07/2026</t>
        </is>
      </c>
      <c r="B74" s="34" t="n">
        <v>3439</v>
      </c>
      <c r="C74" s="18" t="inlineStr">
        <is>
          <t>INES</t>
        </is>
      </c>
      <c r="D74" s="18" t="inlineStr">
        <is>
          <t>VINO</t>
        </is>
      </c>
      <c r="E74" s="19" t="n">
        <v>12</v>
      </c>
      <c r="F74" s="19" t="n">
        <v>9</v>
      </c>
      <c r="G74" s="19">
        <f>E74-F74</f>
        <v/>
      </c>
      <c r="H74" s="35">
        <f>IF(E74&gt;0, F74/E74, 0)</f>
        <v/>
      </c>
      <c r="I74" s="36" t="inlineStr">
        <is>
          <t>Pendiente</t>
        </is>
      </c>
    </row>
    <row r="75" ht="20" customHeight="1">
      <c r="A75" s="10" t="inlineStr">
        <is>
          <t>10/07/2026</t>
        </is>
      </c>
      <c r="B75" s="32" t="n">
        <v>3465</v>
      </c>
      <c r="C75" s="12" t="inlineStr">
        <is>
          <t>LUISA</t>
        </is>
      </c>
      <c r="D75" s="12" t="inlineStr">
        <is>
          <t>BEIGE</t>
        </is>
      </c>
      <c r="E75" s="13" t="n">
        <v>12</v>
      </c>
      <c r="F75" s="13" t="n">
        <v>12</v>
      </c>
      <c r="G75" s="13">
        <f>E75-F75</f>
        <v/>
      </c>
      <c r="H75" s="21">
        <f>IF(E75&gt;0, F75/E75, 0)</f>
        <v/>
      </c>
      <c r="I75" s="33" t="inlineStr">
        <is>
          <t>Completo</t>
        </is>
      </c>
    </row>
    <row r="76" ht="20" customHeight="1">
      <c r="A76" s="16" t="inlineStr">
        <is>
          <t>10/07/2026</t>
        </is>
      </c>
      <c r="B76" s="34" t="n">
        <v>3466</v>
      </c>
      <c r="C76" s="18" t="inlineStr">
        <is>
          <t>LUISA</t>
        </is>
      </c>
      <c r="D76" s="18" t="inlineStr">
        <is>
          <t>BEIGE</t>
        </is>
      </c>
      <c r="E76" s="19" t="n">
        <v>12</v>
      </c>
      <c r="F76" s="19" t="n">
        <v>11</v>
      </c>
      <c r="G76" s="19">
        <f>E76-F76</f>
        <v/>
      </c>
      <c r="H76" s="35">
        <f>IF(E76&gt;0, F76/E76, 0)</f>
        <v/>
      </c>
      <c r="I76" s="36" t="inlineStr">
        <is>
          <t>Pendiente</t>
        </is>
      </c>
    </row>
    <row r="77" ht="20" customHeight="1">
      <c r="A77" s="10" t="inlineStr">
        <is>
          <t>10/07/2026</t>
        </is>
      </c>
      <c r="B77" s="32" t="n">
        <v>3467</v>
      </c>
      <c r="C77" s="12" t="inlineStr">
        <is>
          <t>LUISA</t>
        </is>
      </c>
      <c r="D77" s="12" t="inlineStr">
        <is>
          <t>BEIGE</t>
        </is>
      </c>
      <c r="E77" s="13" t="n">
        <v>12</v>
      </c>
      <c r="F77" s="13" t="n">
        <v>11</v>
      </c>
      <c r="G77" s="13">
        <f>E77-F77</f>
        <v/>
      </c>
      <c r="H77" s="21">
        <f>IF(E77&gt;0, F77/E77, 0)</f>
        <v/>
      </c>
      <c r="I77" s="36" t="inlineStr">
        <is>
          <t>Pendiente</t>
        </is>
      </c>
    </row>
    <row r="78" ht="20" customHeight="1">
      <c r="A78" s="16" t="inlineStr">
        <is>
          <t>10/07/2026</t>
        </is>
      </c>
      <c r="B78" s="34" t="n">
        <v>3468</v>
      </c>
      <c r="C78" s="18" t="inlineStr">
        <is>
          <t>LUISA</t>
        </is>
      </c>
      <c r="D78" s="18" t="inlineStr">
        <is>
          <t>BEIGE</t>
        </is>
      </c>
      <c r="E78" s="19" t="n">
        <v>12</v>
      </c>
      <c r="F78" s="19" t="n">
        <v>10</v>
      </c>
      <c r="G78" s="19">
        <f>E78-F78</f>
        <v/>
      </c>
      <c r="H78" s="35">
        <f>IF(E78&gt;0, F78/E78, 0)</f>
        <v/>
      </c>
      <c r="I78" s="36" t="inlineStr">
        <is>
          <t>Pendiente</t>
        </is>
      </c>
    </row>
    <row r="79" ht="20" customHeight="1">
      <c r="A79" s="10" t="inlineStr">
        <is>
          <t>10/07/2026</t>
        </is>
      </c>
      <c r="B79" s="32" t="n">
        <v>3460</v>
      </c>
      <c r="C79" s="12" t="inlineStr">
        <is>
          <t>LUISA</t>
        </is>
      </c>
      <c r="D79" s="12" t="inlineStr">
        <is>
          <t>MARRON</t>
        </is>
      </c>
      <c r="E79" s="13" t="n">
        <v>12</v>
      </c>
      <c r="F79" s="13" t="n">
        <v>12</v>
      </c>
      <c r="G79" s="13">
        <f>E79-F79</f>
        <v/>
      </c>
      <c r="H79" s="21">
        <f>IF(E79&gt;0, F79/E79, 0)</f>
        <v/>
      </c>
      <c r="I79" s="33" t="inlineStr">
        <is>
          <t>Completo</t>
        </is>
      </c>
    </row>
    <row r="80" ht="20" customHeight="1">
      <c r="A80" s="16" t="inlineStr">
        <is>
          <t>10/07/2026</t>
        </is>
      </c>
      <c r="B80" s="34" t="n">
        <v>3461</v>
      </c>
      <c r="C80" s="18" t="inlineStr">
        <is>
          <t>LUISA</t>
        </is>
      </c>
      <c r="D80" s="18" t="inlineStr">
        <is>
          <t>MARRON</t>
        </is>
      </c>
      <c r="E80" s="19" t="n">
        <v>12</v>
      </c>
      <c r="F80" s="19" t="n">
        <v>12</v>
      </c>
      <c r="G80" s="19">
        <f>E80-F80</f>
        <v/>
      </c>
      <c r="H80" s="35">
        <f>IF(E80&gt;0, F80/E80, 0)</f>
        <v/>
      </c>
      <c r="I80" s="33" t="inlineStr">
        <is>
          <t>Completo</t>
        </is>
      </c>
    </row>
    <row r="81" ht="20" customHeight="1">
      <c r="A81" s="10" t="inlineStr">
        <is>
          <t>10/07/2026</t>
        </is>
      </c>
      <c r="B81" s="32" t="n">
        <v>3462</v>
      </c>
      <c r="C81" s="12" t="inlineStr">
        <is>
          <t>LUISA</t>
        </is>
      </c>
      <c r="D81" s="12" t="inlineStr">
        <is>
          <t>MARRON</t>
        </is>
      </c>
      <c r="E81" s="13" t="n">
        <v>12</v>
      </c>
      <c r="F81" s="13" t="n">
        <v>9</v>
      </c>
      <c r="G81" s="13">
        <f>E81-F81</f>
        <v/>
      </c>
      <c r="H81" s="21">
        <f>IF(E81&gt;0, F81/E81, 0)</f>
        <v/>
      </c>
      <c r="I81" s="36" t="inlineStr">
        <is>
          <t>Pendiente</t>
        </is>
      </c>
    </row>
    <row r="82" ht="20" customHeight="1">
      <c r="A82" s="16" t="inlineStr">
        <is>
          <t>10/07/2026</t>
        </is>
      </c>
      <c r="B82" s="34" t="n">
        <v>3463</v>
      </c>
      <c r="C82" s="18" t="inlineStr">
        <is>
          <t>LUISA</t>
        </is>
      </c>
      <c r="D82" s="18" t="inlineStr">
        <is>
          <t>MARRON</t>
        </is>
      </c>
      <c r="E82" s="19" t="n">
        <v>12</v>
      </c>
      <c r="F82" s="19" t="n">
        <v>11</v>
      </c>
      <c r="G82" s="19">
        <f>E82-F82</f>
        <v/>
      </c>
      <c r="H82" s="35">
        <f>IF(E82&gt;0, F82/E82, 0)</f>
        <v/>
      </c>
      <c r="I82" s="36" t="inlineStr">
        <is>
          <t>Pendiente</t>
        </is>
      </c>
    </row>
    <row r="83" ht="20" customHeight="1">
      <c r="A83" s="10" t="inlineStr">
        <is>
          <t>10/07/2026</t>
        </is>
      </c>
      <c r="B83" s="32" t="n">
        <v>3464</v>
      </c>
      <c r="C83" s="12" t="inlineStr">
        <is>
          <t>LUISA</t>
        </is>
      </c>
      <c r="D83" s="12" t="inlineStr">
        <is>
          <t>MARRON</t>
        </is>
      </c>
      <c r="E83" s="13" t="n">
        <v>12</v>
      </c>
      <c r="F83" s="13" t="n">
        <v>12</v>
      </c>
      <c r="G83" s="13">
        <f>E83-F83</f>
        <v/>
      </c>
      <c r="H83" s="21">
        <f>IF(E83&gt;0, F83/E83, 0)</f>
        <v/>
      </c>
      <c r="I83" s="33" t="inlineStr">
        <is>
          <t>Completo</t>
        </is>
      </c>
    </row>
    <row r="84" ht="20" customHeight="1">
      <c r="A84" s="16" t="inlineStr">
        <is>
          <t>10/07/2026</t>
        </is>
      </c>
      <c r="B84" s="34" t="n">
        <v>3454</v>
      </c>
      <c r="C84" s="18" t="inlineStr">
        <is>
          <t>LUISA</t>
        </is>
      </c>
      <c r="D84" s="18" t="inlineStr">
        <is>
          <t>NEGRO</t>
        </is>
      </c>
      <c r="E84" s="19" t="n">
        <v>12</v>
      </c>
      <c r="F84" s="19" t="n">
        <v>11</v>
      </c>
      <c r="G84" s="19">
        <f>E84-F84</f>
        <v/>
      </c>
      <c r="H84" s="35">
        <f>IF(E84&gt;0, F84/E84, 0)</f>
        <v/>
      </c>
      <c r="I84" s="36" t="inlineStr">
        <is>
          <t>Pendiente</t>
        </is>
      </c>
    </row>
    <row r="85" ht="20" customHeight="1">
      <c r="A85" s="10" t="inlineStr">
        <is>
          <t>10/07/2026</t>
        </is>
      </c>
      <c r="B85" s="32" t="n">
        <v>3455</v>
      </c>
      <c r="C85" s="12" t="inlineStr">
        <is>
          <t>LUISA</t>
        </is>
      </c>
      <c r="D85" s="12" t="inlineStr">
        <is>
          <t>NEGRO</t>
        </is>
      </c>
      <c r="E85" s="13" t="n">
        <v>12</v>
      </c>
      <c r="F85" s="13" t="n">
        <v>12</v>
      </c>
      <c r="G85" s="13">
        <f>E85-F85</f>
        <v/>
      </c>
      <c r="H85" s="21">
        <f>IF(E85&gt;0, F85/E85, 0)</f>
        <v/>
      </c>
      <c r="I85" s="33" t="inlineStr">
        <is>
          <t>Completo</t>
        </is>
      </c>
    </row>
    <row r="86" ht="20" customHeight="1">
      <c r="A86" s="16" t="inlineStr">
        <is>
          <t>10/07/2026</t>
        </is>
      </c>
      <c r="B86" s="34" t="n">
        <v>3456</v>
      </c>
      <c r="C86" s="18" t="inlineStr">
        <is>
          <t>LUISA</t>
        </is>
      </c>
      <c r="D86" s="18" t="inlineStr">
        <is>
          <t>NEGRO</t>
        </is>
      </c>
      <c r="E86" s="19" t="n">
        <v>12</v>
      </c>
      <c r="F86" s="19" t="n">
        <v>12</v>
      </c>
      <c r="G86" s="19">
        <f>E86-F86</f>
        <v/>
      </c>
      <c r="H86" s="35">
        <f>IF(E86&gt;0, F86/E86, 0)</f>
        <v/>
      </c>
      <c r="I86" s="33" t="inlineStr">
        <is>
          <t>Completo</t>
        </is>
      </c>
    </row>
    <row r="87" ht="20" customHeight="1">
      <c r="A87" s="10" t="inlineStr">
        <is>
          <t>10/07/2026</t>
        </is>
      </c>
      <c r="B87" s="32" t="n">
        <v>3457</v>
      </c>
      <c r="C87" s="12" t="inlineStr">
        <is>
          <t>LUISA</t>
        </is>
      </c>
      <c r="D87" s="12" t="inlineStr">
        <is>
          <t>NEGRO</t>
        </is>
      </c>
      <c r="E87" s="13" t="n">
        <v>12</v>
      </c>
      <c r="F87" s="13" t="n">
        <v>12</v>
      </c>
      <c r="G87" s="13">
        <f>E87-F87</f>
        <v/>
      </c>
      <c r="H87" s="21">
        <f>IF(E87&gt;0, F87/E87, 0)</f>
        <v/>
      </c>
      <c r="I87" s="33" t="inlineStr">
        <is>
          <t>Completo</t>
        </is>
      </c>
    </row>
    <row r="88" ht="20" customHeight="1">
      <c r="A88" s="16" t="inlineStr">
        <is>
          <t>10/07/2026</t>
        </is>
      </c>
      <c r="B88" s="34" t="n">
        <v>3458</v>
      </c>
      <c r="C88" s="18" t="inlineStr">
        <is>
          <t>LUISA</t>
        </is>
      </c>
      <c r="D88" s="18" t="inlineStr">
        <is>
          <t>NEGRO</t>
        </is>
      </c>
      <c r="E88" s="19" t="n">
        <v>12</v>
      </c>
      <c r="F88" s="19" t="n">
        <v>12</v>
      </c>
      <c r="G88" s="19">
        <f>E88-F88</f>
        <v/>
      </c>
      <c r="H88" s="35">
        <f>IF(E88&gt;0, F88/E88, 0)</f>
        <v/>
      </c>
      <c r="I88" s="33" t="inlineStr">
        <is>
          <t>Completo</t>
        </is>
      </c>
    </row>
    <row r="89" ht="20" customHeight="1">
      <c r="A89" s="10" t="inlineStr">
        <is>
          <t>10/07/2026</t>
        </is>
      </c>
      <c r="B89" s="32" t="n">
        <v>3459</v>
      </c>
      <c r="C89" s="12" t="inlineStr">
        <is>
          <t>LUISA</t>
        </is>
      </c>
      <c r="D89" s="12" t="inlineStr">
        <is>
          <t>NEGRO</t>
        </is>
      </c>
      <c r="E89" s="13" t="n">
        <v>12</v>
      </c>
      <c r="F89" s="13" t="n">
        <v>12</v>
      </c>
      <c r="G89" s="13">
        <f>E89-F89</f>
        <v/>
      </c>
      <c r="H89" s="21">
        <f>IF(E89&gt;0, F89/E89, 0)</f>
        <v/>
      </c>
      <c r="I89" s="33" t="inlineStr">
        <is>
          <t>Completo</t>
        </is>
      </c>
    </row>
    <row r="90" ht="20" customHeight="1">
      <c r="A90" s="16" t="inlineStr">
        <is>
          <t>10/07/2026</t>
        </is>
      </c>
      <c r="B90" s="34" t="n">
        <v>3390</v>
      </c>
      <c r="C90" s="18" t="inlineStr">
        <is>
          <t>MAFER</t>
        </is>
      </c>
      <c r="D90" s="18" t="inlineStr">
        <is>
          <t>MARRON</t>
        </is>
      </c>
      <c r="E90" s="19" t="n">
        <v>12</v>
      </c>
      <c r="F90" s="19" t="n">
        <v>12</v>
      </c>
      <c r="G90" s="19">
        <f>E90-F90</f>
        <v/>
      </c>
      <c r="H90" s="35">
        <f>IF(E90&gt;0, F90/E90, 0)</f>
        <v/>
      </c>
      <c r="I90" s="33" t="inlineStr">
        <is>
          <t>Completo</t>
        </is>
      </c>
    </row>
    <row r="91" ht="20" customHeight="1">
      <c r="A91" s="10" t="inlineStr">
        <is>
          <t>10/07/2026</t>
        </is>
      </c>
      <c r="B91" s="32" t="n">
        <v>3391</v>
      </c>
      <c r="C91" s="12" t="inlineStr">
        <is>
          <t>MAFER</t>
        </is>
      </c>
      <c r="D91" s="12" t="inlineStr">
        <is>
          <t>MARRON</t>
        </is>
      </c>
      <c r="E91" s="13" t="n">
        <v>12</v>
      </c>
      <c r="F91" s="13" t="n">
        <v>11</v>
      </c>
      <c r="G91" s="13">
        <f>E91-F91</f>
        <v/>
      </c>
      <c r="H91" s="21">
        <f>IF(E91&gt;0, F91/E91, 0)</f>
        <v/>
      </c>
      <c r="I91" s="36" t="inlineStr">
        <is>
          <t>Pendiente</t>
        </is>
      </c>
    </row>
    <row r="92" ht="20" customHeight="1">
      <c r="A92" s="16" t="inlineStr">
        <is>
          <t>10/07/2026</t>
        </is>
      </c>
      <c r="B92" s="34" t="n">
        <v>3392</v>
      </c>
      <c r="C92" s="18" t="inlineStr">
        <is>
          <t>MAFER</t>
        </is>
      </c>
      <c r="D92" s="18" t="inlineStr">
        <is>
          <t>MARRON</t>
        </is>
      </c>
      <c r="E92" s="19" t="n">
        <v>12</v>
      </c>
      <c r="F92" s="19" t="n">
        <v>12</v>
      </c>
      <c r="G92" s="19">
        <f>E92-F92</f>
        <v/>
      </c>
      <c r="H92" s="35">
        <f>IF(E92&gt;0, F92/E92, 0)</f>
        <v/>
      </c>
      <c r="I92" s="33" t="inlineStr">
        <is>
          <t>Completo</t>
        </is>
      </c>
    </row>
    <row r="93" ht="20" customHeight="1">
      <c r="A93" s="10" t="inlineStr">
        <is>
          <t>10/07/2026</t>
        </is>
      </c>
      <c r="B93" s="32" t="n">
        <v>3393</v>
      </c>
      <c r="C93" s="12" t="inlineStr">
        <is>
          <t>MAFER</t>
        </is>
      </c>
      <c r="D93" s="12" t="inlineStr">
        <is>
          <t>MARRON</t>
        </is>
      </c>
      <c r="E93" s="13" t="n">
        <v>12</v>
      </c>
      <c r="F93" s="13" t="n">
        <v>12</v>
      </c>
      <c r="G93" s="13">
        <f>E93-F93</f>
        <v/>
      </c>
      <c r="H93" s="21">
        <f>IF(E93&gt;0, F93/E93, 0)</f>
        <v/>
      </c>
      <c r="I93" s="33" t="inlineStr">
        <is>
          <t>Completo</t>
        </is>
      </c>
    </row>
    <row r="94" ht="20" customHeight="1">
      <c r="A94" s="16" t="inlineStr">
        <is>
          <t>10/07/2026</t>
        </is>
      </c>
      <c r="B94" s="34" t="n">
        <v>3394</v>
      </c>
      <c r="C94" s="18" t="inlineStr">
        <is>
          <t>MAFER</t>
        </is>
      </c>
      <c r="D94" s="18" t="inlineStr">
        <is>
          <t>MARRON</t>
        </is>
      </c>
      <c r="E94" s="19" t="n">
        <v>12</v>
      </c>
      <c r="F94" s="19" t="n">
        <v>12</v>
      </c>
      <c r="G94" s="19">
        <f>E94-F94</f>
        <v/>
      </c>
      <c r="H94" s="35">
        <f>IF(E94&gt;0, F94/E94, 0)</f>
        <v/>
      </c>
      <c r="I94" s="36" t="inlineStr">
        <is>
          <t>Pendiente</t>
        </is>
      </c>
    </row>
    <row r="95" ht="20" customHeight="1">
      <c r="A95" s="10" t="inlineStr">
        <is>
          <t>10/07/2026</t>
        </is>
      </c>
      <c r="B95" s="32" t="n">
        <v>3384</v>
      </c>
      <c r="C95" s="12" t="inlineStr">
        <is>
          <t>MAFER</t>
        </is>
      </c>
      <c r="D95" s="12" t="inlineStr">
        <is>
          <t>NEGRO</t>
        </is>
      </c>
      <c r="E95" s="13" t="n">
        <v>12</v>
      </c>
      <c r="F95" s="13" t="n">
        <v>12</v>
      </c>
      <c r="G95" s="13">
        <f>E95-F95</f>
        <v/>
      </c>
      <c r="H95" s="21">
        <f>IF(E95&gt;0, F95/E95, 0)</f>
        <v/>
      </c>
      <c r="I95" s="33" t="inlineStr">
        <is>
          <t>Completo</t>
        </is>
      </c>
    </row>
    <row r="96" ht="20" customHeight="1">
      <c r="A96" s="16" t="inlineStr">
        <is>
          <t>10/07/2026</t>
        </is>
      </c>
      <c r="B96" s="34" t="n">
        <v>3385</v>
      </c>
      <c r="C96" s="18" t="inlineStr">
        <is>
          <t>MAFER</t>
        </is>
      </c>
      <c r="D96" s="18" t="inlineStr">
        <is>
          <t>NEGRO</t>
        </is>
      </c>
      <c r="E96" s="19" t="n">
        <v>12</v>
      </c>
      <c r="F96" s="19" t="n">
        <v>12</v>
      </c>
      <c r="G96" s="19">
        <f>E96-F96</f>
        <v/>
      </c>
      <c r="H96" s="35">
        <f>IF(E96&gt;0, F96/E96, 0)</f>
        <v/>
      </c>
      <c r="I96" s="33" t="inlineStr">
        <is>
          <t>Completo</t>
        </is>
      </c>
    </row>
    <row r="97" ht="20" customHeight="1">
      <c r="A97" s="10" t="inlineStr">
        <is>
          <t>10/07/2026</t>
        </is>
      </c>
      <c r="B97" s="32" t="n">
        <v>3386</v>
      </c>
      <c r="C97" s="12" t="inlineStr">
        <is>
          <t>MAFER</t>
        </is>
      </c>
      <c r="D97" s="12" t="inlineStr">
        <is>
          <t>NEGRO</t>
        </is>
      </c>
      <c r="E97" s="13" t="n">
        <v>12</v>
      </c>
      <c r="F97" s="13" t="n">
        <v>12</v>
      </c>
      <c r="G97" s="13">
        <f>E97-F97</f>
        <v/>
      </c>
      <c r="H97" s="21">
        <f>IF(E97&gt;0, F97/E97, 0)</f>
        <v/>
      </c>
      <c r="I97" s="33" t="inlineStr">
        <is>
          <t>Completo</t>
        </is>
      </c>
    </row>
    <row r="98" ht="20" customHeight="1">
      <c r="A98" s="16" t="inlineStr">
        <is>
          <t>10/07/2026</t>
        </is>
      </c>
      <c r="B98" s="34" t="n">
        <v>3387</v>
      </c>
      <c r="C98" s="18" t="inlineStr">
        <is>
          <t>MAFER</t>
        </is>
      </c>
      <c r="D98" s="18" t="inlineStr">
        <is>
          <t>NEGRO</t>
        </is>
      </c>
      <c r="E98" s="19" t="n">
        <v>12</v>
      </c>
      <c r="F98" s="19" t="n">
        <v>12</v>
      </c>
      <c r="G98" s="19">
        <f>E98-F98</f>
        <v/>
      </c>
      <c r="H98" s="35">
        <f>IF(E98&gt;0, F98/E98, 0)</f>
        <v/>
      </c>
      <c r="I98" s="33" t="inlineStr">
        <is>
          <t>Completo</t>
        </is>
      </c>
    </row>
    <row r="99" ht="20" customHeight="1">
      <c r="A99" s="10" t="inlineStr">
        <is>
          <t>10/07/2026</t>
        </is>
      </c>
      <c r="B99" s="32" t="n">
        <v>3388</v>
      </c>
      <c r="C99" s="12" t="inlineStr">
        <is>
          <t>MAFER</t>
        </is>
      </c>
      <c r="D99" s="12" t="inlineStr">
        <is>
          <t>NEGRO</t>
        </is>
      </c>
      <c r="E99" s="13" t="n">
        <v>12</v>
      </c>
      <c r="F99" s="13" t="n">
        <v>12</v>
      </c>
      <c r="G99" s="13">
        <f>E99-F99</f>
        <v/>
      </c>
      <c r="H99" s="21">
        <f>IF(E99&gt;0, F99/E99, 0)</f>
        <v/>
      </c>
      <c r="I99" s="33" t="inlineStr">
        <is>
          <t>Completo</t>
        </is>
      </c>
    </row>
    <row r="100" ht="20" customHeight="1">
      <c r="A100" s="16" t="inlineStr">
        <is>
          <t>10/07/2026</t>
        </is>
      </c>
      <c r="B100" s="34" t="n">
        <v>3389</v>
      </c>
      <c r="C100" s="18" t="inlineStr">
        <is>
          <t>MAFER</t>
        </is>
      </c>
      <c r="D100" s="18" t="inlineStr">
        <is>
          <t>NEGRO</t>
        </is>
      </c>
      <c r="E100" s="19" t="n">
        <v>12</v>
      </c>
      <c r="F100" s="19" t="n">
        <v>12</v>
      </c>
      <c r="G100" s="19">
        <f>E100-F100</f>
        <v/>
      </c>
      <c r="H100" s="35">
        <f>IF(E100&gt;0, F100/E100, 0)</f>
        <v/>
      </c>
      <c r="I100" s="33" t="inlineStr">
        <is>
          <t>Completo</t>
        </is>
      </c>
    </row>
    <row r="101" ht="20" customHeight="1">
      <c r="A101" s="10" t="inlineStr">
        <is>
          <t>10/07/2026</t>
        </is>
      </c>
      <c r="B101" s="32" t="n">
        <v>3395</v>
      </c>
      <c r="C101" s="12" t="inlineStr">
        <is>
          <t>MAFER</t>
        </is>
      </c>
      <c r="D101" s="12" t="inlineStr">
        <is>
          <t>VINO</t>
        </is>
      </c>
      <c r="E101" s="13" t="n">
        <v>12</v>
      </c>
      <c r="F101" s="13" t="n">
        <v>12</v>
      </c>
      <c r="G101" s="13">
        <f>E101-F101</f>
        <v/>
      </c>
      <c r="H101" s="21">
        <f>IF(E101&gt;0, F101/E101, 0)</f>
        <v/>
      </c>
      <c r="I101" s="33" t="inlineStr">
        <is>
          <t>Completo</t>
        </is>
      </c>
    </row>
    <row r="102" ht="20" customHeight="1">
      <c r="A102" s="16" t="inlineStr">
        <is>
          <t>10/07/2026</t>
        </is>
      </c>
      <c r="B102" s="34" t="n">
        <v>3396</v>
      </c>
      <c r="C102" s="18" t="inlineStr">
        <is>
          <t>MAFER</t>
        </is>
      </c>
      <c r="D102" s="18" t="inlineStr">
        <is>
          <t>VINO</t>
        </is>
      </c>
      <c r="E102" s="19" t="n">
        <v>12</v>
      </c>
      <c r="F102" s="19" t="n">
        <v>12</v>
      </c>
      <c r="G102" s="19">
        <f>E102-F102</f>
        <v/>
      </c>
      <c r="H102" s="35">
        <f>IF(E102&gt;0, F102/E102, 0)</f>
        <v/>
      </c>
      <c r="I102" s="33" t="inlineStr">
        <is>
          <t>Completo</t>
        </is>
      </c>
    </row>
    <row r="103" ht="20" customHeight="1">
      <c r="A103" s="10" t="inlineStr">
        <is>
          <t>10/07/2026</t>
        </is>
      </c>
      <c r="B103" s="32" t="n">
        <v>3397</v>
      </c>
      <c r="C103" s="12" t="inlineStr">
        <is>
          <t>MAFER</t>
        </is>
      </c>
      <c r="D103" s="12" t="inlineStr">
        <is>
          <t>VINO</t>
        </is>
      </c>
      <c r="E103" s="13" t="n">
        <v>12</v>
      </c>
      <c r="F103" s="13" t="n">
        <v>12</v>
      </c>
      <c r="G103" s="13">
        <f>E103-F103</f>
        <v/>
      </c>
      <c r="H103" s="21">
        <f>IF(E103&gt;0, F103/E103, 0)</f>
        <v/>
      </c>
      <c r="I103" s="33" t="inlineStr">
        <is>
          <t>Completo</t>
        </is>
      </c>
    </row>
    <row r="104" ht="20" customHeight="1">
      <c r="A104" s="16" t="inlineStr">
        <is>
          <t>10/07/2026</t>
        </is>
      </c>
      <c r="B104" s="34" t="n">
        <v>3398</v>
      </c>
      <c r="C104" s="18" t="inlineStr">
        <is>
          <t>MAFER</t>
        </is>
      </c>
      <c r="D104" s="18" t="inlineStr">
        <is>
          <t>VINO</t>
        </is>
      </c>
      <c r="E104" s="19" t="n">
        <v>12</v>
      </c>
      <c r="F104" s="19" t="n">
        <v>12</v>
      </c>
      <c r="G104" s="19">
        <f>E104-F104</f>
        <v/>
      </c>
      <c r="H104" s="35">
        <f>IF(E104&gt;0, F104/E104, 0)</f>
        <v/>
      </c>
      <c r="I104" s="33" t="inlineStr">
        <is>
          <t>Completo</t>
        </is>
      </c>
    </row>
    <row r="105" ht="20" customHeight="1">
      <c r="A105" s="10" t="inlineStr">
        <is>
          <t>10/07/2026</t>
        </is>
      </c>
      <c r="B105" s="32" t="n">
        <v>3420</v>
      </c>
      <c r="C105" s="12" t="inlineStr">
        <is>
          <t>REBECA</t>
        </is>
      </c>
      <c r="D105" s="12" t="inlineStr">
        <is>
          <t>MARRON</t>
        </is>
      </c>
      <c r="E105" s="13" t="n">
        <v>12</v>
      </c>
      <c r="F105" s="13" t="n">
        <v>12</v>
      </c>
      <c r="G105" s="13">
        <f>E105-F105</f>
        <v/>
      </c>
      <c r="H105" s="21">
        <f>IF(E105&gt;0, F105/E105, 0)</f>
        <v/>
      </c>
      <c r="I105" s="33" t="inlineStr">
        <is>
          <t>Completo</t>
        </is>
      </c>
    </row>
    <row r="106" ht="20" customHeight="1">
      <c r="A106" s="16" t="inlineStr">
        <is>
          <t>10/07/2026</t>
        </is>
      </c>
      <c r="B106" s="34" t="n">
        <v>3421</v>
      </c>
      <c r="C106" s="18" t="inlineStr">
        <is>
          <t>REBECA</t>
        </is>
      </c>
      <c r="D106" s="18" t="inlineStr">
        <is>
          <t>MARRON</t>
        </is>
      </c>
      <c r="E106" s="19" t="n">
        <v>12</v>
      </c>
      <c r="F106" s="19" t="n">
        <v>12</v>
      </c>
      <c r="G106" s="19">
        <f>E106-F106</f>
        <v/>
      </c>
      <c r="H106" s="35">
        <f>IF(E106&gt;0, F106/E106, 0)</f>
        <v/>
      </c>
      <c r="I106" s="33" t="inlineStr">
        <is>
          <t>Completo</t>
        </is>
      </c>
    </row>
    <row r="107" ht="20" customHeight="1">
      <c r="A107" s="10" t="inlineStr">
        <is>
          <t>10/07/2026</t>
        </is>
      </c>
      <c r="B107" s="32" t="n">
        <v>3422</v>
      </c>
      <c r="C107" s="12" t="inlineStr">
        <is>
          <t>REBECA</t>
        </is>
      </c>
      <c r="D107" s="12" t="inlineStr">
        <is>
          <t>MARRON</t>
        </is>
      </c>
      <c r="E107" s="13" t="n">
        <v>12</v>
      </c>
      <c r="F107" s="13" t="n">
        <v>12</v>
      </c>
      <c r="G107" s="13">
        <f>E107-F107</f>
        <v/>
      </c>
      <c r="H107" s="21">
        <f>IF(E107&gt;0, F107/E107, 0)</f>
        <v/>
      </c>
      <c r="I107" s="33" t="inlineStr">
        <is>
          <t>Completo</t>
        </is>
      </c>
    </row>
    <row r="108" ht="20" customHeight="1">
      <c r="A108" s="16" t="inlineStr">
        <is>
          <t>10/07/2026</t>
        </is>
      </c>
      <c r="B108" s="34" t="n">
        <v>3423</v>
      </c>
      <c r="C108" s="18" t="inlineStr">
        <is>
          <t>REBECA</t>
        </is>
      </c>
      <c r="D108" s="18" t="inlineStr">
        <is>
          <t>MARRON</t>
        </is>
      </c>
      <c r="E108" s="19" t="n">
        <v>12</v>
      </c>
      <c r="F108" s="19" t="n">
        <v>11</v>
      </c>
      <c r="G108" s="19">
        <f>E108-F108</f>
        <v/>
      </c>
      <c r="H108" s="35">
        <f>IF(E108&gt;0, F108/E108, 0)</f>
        <v/>
      </c>
      <c r="I108" s="36" t="inlineStr">
        <is>
          <t>Pendiente</t>
        </is>
      </c>
    </row>
    <row r="109" ht="20" customHeight="1">
      <c r="A109" s="10" t="inlineStr">
        <is>
          <t>10/07/2026</t>
        </is>
      </c>
      <c r="B109" s="32" t="n">
        <v>3424</v>
      </c>
      <c r="C109" s="12" t="inlineStr">
        <is>
          <t>REBECA</t>
        </is>
      </c>
      <c r="D109" s="12" t="inlineStr">
        <is>
          <t>MARRON</t>
        </is>
      </c>
      <c r="E109" s="13" t="n">
        <v>12</v>
      </c>
      <c r="F109" s="13" t="n">
        <v>12</v>
      </c>
      <c r="G109" s="13">
        <f>E109-F109</f>
        <v/>
      </c>
      <c r="H109" s="21">
        <f>IF(E109&gt;0, F109/E109, 0)</f>
        <v/>
      </c>
      <c r="I109" s="33" t="inlineStr">
        <is>
          <t>Completo</t>
        </is>
      </c>
    </row>
    <row r="110" ht="20" customHeight="1">
      <c r="A110" s="16" t="inlineStr">
        <is>
          <t>10/07/2026</t>
        </is>
      </c>
      <c r="B110" s="34" t="n">
        <v>3414</v>
      </c>
      <c r="C110" s="18" t="inlineStr">
        <is>
          <t>REBECA</t>
        </is>
      </c>
      <c r="D110" s="18" t="inlineStr">
        <is>
          <t>NEGRO</t>
        </is>
      </c>
      <c r="E110" s="19" t="n">
        <v>12</v>
      </c>
      <c r="F110" s="19" t="n">
        <v>12</v>
      </c>
      <c r="G110" s="19">
        <f>E110-F110</f>
        <v/>
      </c>
      <c r="H110" s="35">
        <f>IF(E110&gt;0, F110/E110, 0)</f>
        <v/>
      </c>
      <c r="I110" s="33" t="inlineStr">
        <is>
          <t>Completo</t>
        </is>
      </c>
    </row>
    <row r="111" ht="20" customHeight="1">
      <c r="A111" s="10" t="inlineStr">
        <is>
          <t>10/07/2026</t>
        </is>
      </c>
      <c r="B111" s="32" t="n">
        <v>3415</v>
      </c>
      <c r="C111" s="12" t="inlineStr">
        <is>
          <t>REBECA</t>
        </is>
      </c>
      <c r="D111" s="12" t="inlineStr">
        <is>
          <t>NEGRO</t>
        </is>
      </c>
      <c r="E111" s="13" t="n">
        <v>12</v>
      </c>
      <c r="F111" s="13" t="n">
        <v>12</v>
      </c>
      <c r="G111" s="13">
        <f>E111-F111</f>
        <v/>
      </c>
      <c r="H111" s="21">
        <f>IF(E111&gt;0, F111/E111, 0)</f>
        <v/>
      </c>
      <c r="I111" s="33" t="inlineStr">
        <is>
          <t>Completo</t>
        </is>
      </c>
    </row>
    <row r="112" ht="20" customHeight="1">
      <c r="A112" s="16" t="inlineStr">
        <is>
          <t>10/07/2026</t>
        </is>
      </c>
      <c r="B112" s="34" t="n">
        <v>3416</v>
      </c>
      <c r="C112" s="18" t="inlineStr">
        <is>
          <t>REBECA</t>
        </is>
      </c>
      <c r="D112" s="18" t="inlineStr">
        <is>
          <t>NEGRO</t>
        </is>
      </c>
      <c r="E112" s="19" t="n">
        <v>12</v>
      </c>
      <c r="F112" s="19" t="n">
        <v>12</v>
      </c>
      <c r="G112" s="19">
        <f>E112-F112</f>
        <v/>
      </c>
      <c r="H112" s="35">
        <f>IF(E112&gt;0, F112/E112, 0)</f>
        <v/>
      </c>
      <c r="I112" s="33" t="inlineStr">
        <is>
          <t>Completo</t>
        </is>
      </c>
    </row>
    <row r="113" ht="20" customHeight="1">
      <c r="A113" s="10" t="inlineStr">
        <is>
          <t>10/07/2026</t>
        </is>
      </c>
      <c r="B113" s="32" t="n">
        <v>3417</v>
      </c>
      <c r="C113" s="12" t="inlineStr">
        <is>
          <t>REBECA</t>
        </is>
      </c>
      <c r="D113" s="12" t="inlineStr">
        <is>
          <t>NEGRO</t>
        </is>
      </c>
      <c r="E113" s="13" t="n">
        <v>12</v>
      </c>
      <c r="F113" s="13" t="n">
        <v>12</v>
      </c>
      <c r="G113" s="13">
        <f>E113-F113</f>
        <v/>
      </c>
      <c r="H113" s="21">
        <f>IF(E113&gt;0, F113/E113, 0)</f>
        <v/>
      </c>
      <c r="I113" s="33" t="inlineStr">
        <is>
          <t>Completo</t>
        </is>
      </c>
    </row>
    <row r="114" ht="20" customHeight="1">
      <c r="A114" s="16" t="inlineStr">
        <is>
          <t>10/07/2026</t>
        </is>
      </c>
      <c r="B114" s="34" t="n">
        <v>3418</v>
      </c>
      <c r="C114" s="18" t="inlineStr">
        <is>
          <t>REBECA</t>
        </is>
      </c>
      <c r="D114" s="18" t="inlineStr">
        <is>
          <t>NEGRO</t>
        </is>
      </c>
      <c r="E114" s="19" t="n">
        <v>12</v>
      </c>
      <c r="F114" s="19" t="n">
        <v>12</v>
      </c>
      <c r="G114" s="19">
        <f>E114-F114</f>
        <v/>
      </c>
      <c r="H114" s="35">
        <f>IF(E114&gt;0, F114/E114, 0)</f>
        <v/>
      </c>
      <c r="I114" s="33" t="inlineStr">
        <is>
          <t>Completo</t>
        </is>
      </c>
    </row>
    <row r="115" ht="20" customHeight="1">
      <c r="A115" s="10" t="inlineStr">
        <is>
          <t>10/07/2026</t>
        </is>
      </c>
      <c r="B115" s="32" t="n">
        <v>3419</v>
      </c>
      <c r="C115" s="12" t="inlineStr">
        <is>
          <t>REBECA</t>
        </is>
      </c>
      <c r="D115" s="12" t="inlineStr">
        <is>
          <t>NEGRO</t>
        </is>
      </c>
      <c r="E115" s="13" t="n">
        <v>12</v>
      </c>
      <c r="F115" s="13" t="n">
        <v>9</v>
      </c>
      <c r="G115" s="13">
        <f>E115-F115</f>
        <v/>
      </c>
      <c r="H115" s="21">
        <f>IF(E115&gt;0, F115/E115, 0)</f>
        <v/>
      </c>
      <c r="I115" s="36" t="inlineStr">
        <is>
          <t>Pendiente</t>
        </is>
      </c>
    </row>
    <row r="116" ht="20" customHeight="1">
      <c r="A116" s="16" t="inlineStr">
        <is>
          <t>10/07/2026</t>
        </is>
      </c>
      <c r="B116" s="34" t="n">
        <v>3425</v>
      </c>
      <c r="C116" s="18" t="inlineStr">
        <is>
          <t>REBECA</t>
        </is>
      </c>
      <c r="D116" s="18" t="inlineStr">
        <is>
          <t>VINO</t>
        </is>
      </c>
      <c r="E116" s="19" t="n">
        <v>12</v>
      </c>
      <c r="F116" s="19" t="n">
        <v>12</v>
      </c>
      <c r="G116" s="19">
        <f>E116-F116</f>
        <v/>
      </c>
      <c r="H116" s="35">
        <f>IF(E116&gt;0, F116/E116, 0)</f>
        <v/>
      </c>
      <c r="I116" s="33" t="inlineStr">
        <is>
          <t>Completo</t>
        </is>
      </c>
    </row>
    <row r="117" ht="20" customHeight="1">
      <c r="A117" s="10" t="inlineStr">
        <is>
          <t>10/07/2026</t>
        </is>
      </c>
      <c r="B117" s="32" t="n">
        <v>3426</v>
      </c>
      <c r="C117" s="12" t="inlineStr">
        <is>
          <t>REBECA</t>
        </is>
      </c>
      <c r="D117" s="12" t="inlineStr">
        <is>
          <t>VINO</t>
        </is>
      </c>
      <c r="E117" s="13" t="n">
        <v>12</v>
      </c>
      <c r="F117" s="13" t="n">
        <v>12</v>
      </c>
      <c r="G117" s="13">
        <f>E117-F117</f>
        <v/>
      </c>
      <c r="H117" s="21">
        <f>IF(E117&gt;0, F117/E117, 0)</f>
        <v/>
      </c>
      <c r="I117" s="36" t="inlineStr">
        <is>
          <t>Pendiente</t>
        </is>
      </c>
    </row>
    <row r="118" ht="20" customHeight="1">
      <c r="A118" s="16" t="inlineStr">
        <is>
          <t>10/07/2026</t>
        </is>
      </c>
      <c r="B118" s="34" t="n">
        <v>3427</v>
      </c>
      <c r="C118" s="18" t="inlineStr">
        <is>
          <t>REBECA</t>
        </is>
      </c>
      <c r="D118" s="18" t="inlineStr">
        <is>
          <t>VINO</t>
        </is>
      </c>
      <c r="E118" s="19" t="n">
        <v>12</v>
      </c>
      <c r="F118" s="19" t="n">
        <v>10</v>
      </c>
      <c r="G118" s="19">
        <f>E118-F118</f>
        <v/>
      </c>
      <c r="H118" s="35">
        <f>IF(E118&gt;0, F118/E118, 0)</f>
        <v/>
      </c>
      <c r="I118" s="36" t="inlineStr">
        <is>
          <t>Pendiente</t>
        </is>
      </c>
    </row>
    <row r="119" ht="20" customHeight="1">
      <c r="A119" s="10" t="inlineStr">
        <is>
          <t>10/07/2026</t>
        </is>
      </c>
      <c r="B119" s="32" t="n">
        <v>3428</v>
      </c>
      <c r="C119" s="12" t="inlineStr">
        <is>
          <t>REBECA</t>
        </is>
      </c>
      <c r="D119" s="12" t="inlineStr">
        <is>
          <t>VINO</t>
        </is>
      </c>
      <c r="E119" s="13" t="n">
        <v>12</v>
      </c>
      <c r="F119" s="13" t="n">
        <v>12</v>
      </c>
      <c r="G119" s="13">
        <f>E119-F119</f>
        <v/>
      </c>
      <c r="H119" s="21">
        <f>IF(E119&gt;0, F119/E119, 0)</f>
        <v/>
      </c>
      <c r="I119" s="33" t="inlineStr">
        <is>
          <t>Completo</t>
        </is>
      </c>
    </row>
    <row r="120" ht="20" customHeight="1">
      <c r="A120" s="16" t="inlineStr">
        <is>
          <t>10/07/2026</t>
        </is>
      </c>
      <c r="B120" s="34" t="n">
        <v>3380</v>
      </c>
      <c r="C120" s="18" t="inlineStr">
        <is>
          <t>SIENNA</t>
        </is>
      </c>
      <c r="D120" s="18" t="inlineStr">
        <is>
          <t>BLANCO</t>
        </is>
      </c>
      <c r="E120" s="19" t="n">
        <v>12</v>
      </c>
      <c r="F120" s="19" t="n">
        <v>12</v>
      </c>
      <c r="G120" s="19">
        <f>E120-F120</f>
        <v/>
      </c>
      <c r="H120" s="35">
        <f>IF(E120&gt;0, F120/E120, 0)</f>
        <v/>
      </c>
      <c r="I120" s="33" t="inlineStr">
        <is>
          <t>Completo</t>
        </is>
      </c>
    </row>
    <row r="121" ht="20" customHeight="1">
      <c r="A121" s="10" t="inlineStr">
        <is>
          <t>10/07/2026</t>
        </is>
      </c>
      <c r="B121" s="32" t="n">
        <v>3381</v>
      </c>
      <c r="C121" s="12" t="inlineStr">
        <is>
          <t>SIENNA</t>
        </is>
      </c>
      <c r="D121" s="12" t="inlineStr">
        <is>
          <t>BLANCO</t>
        </is>
      </c>
      <c r="E121" s="13" t="n">
        <v>12</v>
      </c>
      <c r="F121" s="13" t="n">
        <v>12</v>
      </c>
      <c r="G121" s="13">
        <f>E121-F121</f>
        <v/>
      </c>
      <c r="H121" s="21">
        <f>IF(E121&gt;0, F121/E121, 0)</f>
        <v/>
      </c>
      <c r="I121" s="33" t="inlineStr">
        <is>
          <t>Completo</t>
        </is>
      </c>
    </row>
    <row r="122" ht="20" customHeight="1">
      <c r="A122" s="16" t="inlineStr">
        <is>
          <t>10/07/2026</t>
        </is>
      </c>
      <c r="B122" s="34" t="n">
        <v>3382</v>
      </c>
      <c r="C122" s="18" t="inlineStr">
        <is>
          <t>SIENNA</t>
        </is>
      </c>
      <c r="D122" s="18" t="inlineStr">
        <is>
          <t>BLANCO</t>
        </is>
      </c>
      <c r="E122" s="19" t="n">
        <v>12</v>
      </c>
      <c r="F122" s="19" t="n">
        <v>12</v>
      </c>
      <c r="G122" s="19">
        <f>E122-F122</f>
        <v/>
      </c>
      <c r="H122" s="35">
        <f>IF(E122&gt;0, F122/E122, 0)</f>
        <v/>
      </c>
      <c r="I122" s="33" t="inlineStr">
        <is>
          <t>Completo</t>
        </is>
      </c>
    </row>
    <row r="123" ht="20" customHeight="1">
      <c r="A123" s="10" t="inlineStr">
        <is>
          <t>10/07/2026</t>
        </is>
      </c>
      <c r="B123" s="32" t="n">
        <v>3383</v>
      </c>
      <c r="C123" s="12" t="inlineStr">
        <is>
          <t>SIENNA</t>
        </is>
      </c>
      <c r="D123" s="12" t="inlineStr">
        <is>
          <t>BLANCO</t>
        </is>
      </c>
      <c r="E123" s="13" t="n">
        <v>12</v>
      </c>
      <c r="F123" s="13" t="n">
        <v>12</v>
      </c>
      <c r="G123" s="13">
        <f>E123-F123</f>
        <v/>
      </c>
      <c r="H123" s="21">
        <f>IF(E123&gt;0, F123/E123, 0)</f>
        <v/>
      </c>
      <c r="I123" s="33" t="inlineStr">
        <is>
          <t>Completo</t>
        </is>
      </c>
    </row>
    <row r="124" ht="20" customHeight="1">
      <c r="A124" s="16" t="inlineStr">
        <is>
          <t>10/07/2026</t>
        </is>
      </c>
      <c r="B124" s="34" t="n">
        <v>3375</v>
      </c>
      <c r="C124" s="18" t="inlineStr">
        <is>
          <t>SIENNA</t>
        </is>
      </c>
      <c r="D124" s="18" t="inlineStr">
        <is>
          <t>MARRON</t>
        </is>
      </c>
      <c r="E124" s="19" t="n">
        <v>12</v>
      </c>
      <c r="F124" s="19" t="n">
        <v>12</v>
      </c>
      <c r="G124" s="19">
        <f>E124-F124</f>
        <v/>
      </c>
      <c r="H124" s="35">
        <f>IF(E124&gt;0, F124/E124, 0)</f>
        <v/>
      </c>
      <c r="I124" s="36" t="inlineStr">
        <is>
          <t>Pendiente</t>
        </is>
      </c>
    </row>
    <row r="125" ht="20" customHeight="1">
      <c r="A125" s="10" t="inlineStr">
        <is>
          <t>10/07/2026</t>
        </is>
      </c>
      <c r="B125" s="32" t="n">
        <v>3376</v>
      </c>
      <c r="C125" s="12" t="inlineStr">
        <is>
          <t>SIENNA</t>
        </is>
      </c>
      <c r="D125" s="12" t="inlineStr">
        <is>
          <t>MARRON</t>
        </is>
      </c>
      <c r="E125" s="13" t="n">
        <v>12</v>
      </c>
      <c r="F125" s="13" t="n">
        <v>12</v>
      </c>
      <c r="G125" s="13">
        <f>E125-F125</f>
        <v/>
      </c>
      <c r="H125" s="21">
        <f>IF(E125&gt;0, F125/E125, 0)</f>
        <v/>
      </c>
      <c r="I125" s="36" t="inlineStr">
        <is>
          <t>Pendiente</t>
        </is>
      </c>
    </row>
    <row r="126" ht="20" customHeight="1">
      <c r="A126" s="16" t="inlineStr">
        <is>
          <t>10/07/2026</t>
        </is>
      </c>
      <c r="B126" s="34" t="n">
        <v>3377</v>
      </c>
      <c r="C126" s="18" t="inlineStr">
        <is>
          <t>SIENNA</t>
        </is>
      </c>
      <c r="D126" s="18" t="inlineStr">
        <is>
          <t>MARRON</t>
        </is>
      </c>
      <c r="E126" s="19" t="n">
        <v>12</v>
      </c>
      <c r="F126" s="19" t="n">
        <v>12</v>
      </c>
      <c r="G126" s="19">
        <f>E126-F126</f>
        <v/>
      </c>
      <c r="H126" s="35">
        <f>IF(E126&gt;0, F126/E126, 0)</f>
        <v/>
      </c>
      <c r="I126" s="33" t="inlineStr">
        <is>
          <t>Completo</t>
        </is>
      </c>
    </row>
    <row r="127" ht="20" customHeight="1">
      <c r="A127" s="10" t="inlineStr">
        <is>
          <t>10/07/2026</t>
        </is>
      </c>
      <c r="B127" s="32" t="n">
        <v>3378</v>
      </c>
      <c r="C127" s="12" t="inlineStr">
        <is>
          <t>SIENNA</t>
        </is>
      </c>
      <c r="D127" s="12" t="inlineStr">
        <is>
          <t>MARRON</t>
        </is>
      </c>
      <c r="E127" s="13" t="n">
        <v>12</v>
      </c>
      <c r="F127" s="13" t="n">
        <v>2</v>
      </c>
      <c r="G127" s="13">
        <f>E127-F127</f>
        <v/>
      </c>
      <c r="H127" s="21">
        <f>IF(E127&gt;0, F127/E127, 0)</f>
        <v/>
      </c>
      <c r="I127" s="36" t="inlineStr">
        <is>
          <t>Pendiente</t>
        </is>
      </c>
    </row>
    <row r="128" ht="20" customHeight="1">
      <c r="A128" s="16" t="inlineStr">
        <is>
          <t>10/07/2026</t>
        </is>
      </c>
      <c r="B128" s="34" t="n">
        <v>3379</v>
      </c>
      <c r="C128" s="18" t="inlineStr">
        <is>
          <t>SIENNA</t>
        </is>
      </c>
      <c r="D128" s="18" t="inlineStr">
        <is>
          <t>MARRON</t>
        </is>
      </c>
      <c r="E128" s="19" t="n">
        <v>12</v>
      </c>
      <c r="F128" s="19" t="n">
        <v>11</v>
      </c>
      <c r="G128" s="19">
        <f>E128-F128</f>
        <v/>
      </c>
      <c r="H128" s="35">
        <f>IF(E128&gt;0, F128/E128, 0)</f>
        <v/>
      </c>
      <c r="I128" s="36" t="inlineStr">
        <is>
          <t>Pendiente</t>
        </is>
      </c>
    </row>
    <row r="129" ht="20" customHeight="1">
      <c r="A129" s="10" t="inlineStr">
        <is>
          <t>10/07/2026</t>
        </is>
      </c>
      <c r="B129" s="32" t="n">
        <v>3369</v>
      </c>
      <c r="C129" s="12" t="inlineStr">
        <is>
          <t>SIENNA</t>
        </is>
      </c>
      <c r="D129" s="12" t="inlineStr">
        <is>
          <t>NEGRO</t>
        </is>
      </c>
      <c r="E129" s="13" t="n">
        <v>12</v>
      </c>
      <c r="F129" s="13" t="n">
        <v>10</v>
      </c>
      <c r="G129" s="13">
        <f>E129-F129</f>
        <v/>
      </c>
      <c r="H129" s="21">
        <f>IF(E129&gt;0, F129/E129, 0)</f>
        <v/>
      </c>
      <c r="I129" s="36" t="inlineStr">
        <is>
          <t>Pendiente</t>
        </is>
      </c>
    </row>
    <row r="130" ht="20" customHeight="1">
      <c r="A130" s="16" t="inlineStr">
        <is>
          <t>10/07/2026</t>
        </is>
      </c>
      <c r="B130" s="34" t="n">
        <v>3370</v>
      </c>
      <c r="C130" s="18" t="inlineStr">
        <is>
          <t>SIENNA</t>
        </is>
      </c>
      <c r="D130" s="18" t="inlineStr">
        <is>
          <t>NEGRO</t>
        </is>
      </c>
      <c r="E130" s="19" t="n">
        <v>12</v>
      </c>
      <c r="F130" s="19" t="n">
        <v>11</v>
      </c>
      <c r="G130" s="19">
        <f>E130-F130</f>
        <v/>
      </c>
      <c r="H130" s="35">
        <f>IF(E130&gt;0, F130/E130, 0)</f>
        <v/>
      </c>
      <c r="I130" s="36" t="inlineStr">
        <is>
          <t>Pendiente</t>
        </is>
      </c>
    </row>
    <row r="131" ht="20" customHeight="1">
      <c r="A131" s="10" t="inlineStr">
        <is>
          <t>10/07/2026</t>
        </is>
      </c>
      <c r="B131" s="32" t="n">
        <v>3371</v>
      </c>
      <c r="C131" s="12" t="inlineStr">
        <is>
          <t>SIENNA</t>
        </is>
      </c>
      <c r="D131" s="12" t="inlineStr">
        <is>
          <t>NEGRO</t>
        </is>
      </c>
      <c r="E131" s="13" t="n">
        <v>12</v>
      </c>
      <c r="F131" s="13" t="n">
        <v>6</v>
      </c>
      <c r="G131" s="13">
        <f>E131-F131</f>
        <v/>
      </c>
      <c r="H131" s="21">
        <f>IF(E131&gt;0, F131/E131, 0)</f>
        <v/>
      </c>
      <c r="I131" s="36" t="inlineStr">
        <is>
          <t>Pendiente</t>
        </is>
      </c>
    </row>
    <row r="132" ht="20" customHeight="1">
      <c r="A132" s="16" t="inlineStr">
        <is>
          <t>10/07/2026</t>
        </is>
      </c>
      <c r="B132" s="34" t="n">
        <v>3372</v>
      </c>
      <c r="C132" s="18" t="inlineStr">
        <is>
          <t>SIENNA</t>
        </is>
      </c>
      <c r="D132" s="18" t="inlineStr">
        <is>
          <t>NEGRO</t>
        </is>
      </c>
      <c r="E132" s="19" t="n">
        <v>12</v>
      </c>
      <c r="F132" s="19" t="n">
        <v>12</v>
      </c>
      <c r="G132" s="19">
        <f>E132-F132</f>
        <v/>
      </c>
      <c r="H132" s="35">
        <f>IF(E132&gt;0, F132/E132, 0)</f>
        <v/>
      </c>
      <c r="I132" s="33" t="inlineStr">
        <is>
          <t>Completo</t>
        </is>
      </c>
    </row>
    <row r="133" ht="20" customHeight="1">
      <c r="A133" s="10" t="inlineStr">
        <is>
          <t>10/07/2026</t>
        </is>
      </c>
      <c r="B133" s="32" t="n">
        <v>3373</v>
      </c>
      <c r="C133" s="12" t="inlineStr">
        <is>
          <t>SIENNA</t>
        </is>
      </c>
      <c r="D133" s="12" t="inlineStr">
        <is>
          <t>NEGRO</t>
        </is>
      </c>
      <c r="E133" s="13" t="n">
        <v>12</v>
      </c>
      <c r="F133" s="13" t="n">
        <v>12</v>
      </c>
      <c r="G133" s="13">
        <f>E133-F133</f>
        <v/>
      </c>
      <c r="H133" s="21">
        <f>IF(E133&gt;0, F133/E133, 0)</f>
        <v/>
      </c>
      <c r="I133" s="33" t="inlineStr">
        <is>
          <t>Completo</t>
        </is>
      </c>
    </row>
    <row r="134" ht="20" customHeight="1">
      <c r="A134" s="16" t="inlineStr">
        <is>
          <t>10/07/2026</t>
        </is>
      </c>
      <c r="B134" s="34" t="n">
        <v>3374</v>
      </c>
      <c r="C134" s="18" t="inlineStr">
        <is>
          <t>SIENNA</t>
        </is>
      </c>
      <c r="D134" s="18" t="inlineStr">
        <is>
          <t>NEGRO</t>
        </is>
      </c>
      <c r="E134" s="19" t="n">
        <v>12</v>
      </c>
      <c r="F134" s="19" t="n">
        <v>12</v>
      </c>
      <c r="G134" s="19">
        <f>E134-F134</f>
        <v/>
      </c>
      <c r="H134" s="35">
        <f>IF(E134&gt;0, F134/E134, 0)</f>
        <v/>
      </c>
      <c r="I134" s="33" t="inlineStr">
        <is>
          <t>Completo</t>
        </is>
      </c>
    </row>
    <row r="135" ht="20" customHeight="1">
      <c r="A135" s="10" t="inlineStr">
        <is>
          <t>10/07/2026</t>
        </is>
      </c>
      <c r="B135" s="32" t="n">
        <v>3410</v>
      </c>
      <c r="C135" s="12" t="inlineStr">
        <is>
          <t>ZOE</t>
        </is>
      </c>
      <c r="D135" s="12" t="inlineStr">
        <is>
          <t>BEIGE</t>
        </is>
      </c>
      <c r="E135" s="13" t="n">
        <v>12</v>
      </c>
      <c r="F135" s="13" t="n">
        <v>12</v>
      </c>
      <c r="G135" s="13">
        <f>E135-F135</f>
        <v/>
      </c>
      <c r="H135" s="21">
        <f>IF(E135&gt;0, F135/E135, 0)</f>
        <v/>
      </c>
      <c r="I135" s="33" t="inlineStr">
        <is>
          <t>Completo</t>
        </is>
      </c>
    </row>
    <row r="136" ht="20" customHeight="1">
      <c r="A136" s="16" t="inlineStr">
        <is>
          <t>10/07/2026</t>
        </is>
      </c>
      <c r="B136" s="34" t="n">
        <v>3411</v>
      </c>
      <c r="C136" s="18" t="inlineStr">
        <is>
          <t>ZOE</t>
        </is>
      </c>
      <c r="D136" s="18" t="inlineStr">
        <is>
          <t>BEIGE</t>
        </is>
      </c>
      <c r="E136" s="19" t="n">
        <v>12</v>
      </c>
      <c r="F136" s="19" t="n">
        <v>11</v>
      </c>
      <c r="G136" s="19">
        <f>E136-F136</f>
        <v/>
      </c>
      <c r="H136" s="35">
        <f>IF(E136&gt;0, F136/E136, 0)</f>
        <v/>
      </c>
      <c r="I136" s="36" t="inlineStr">
        <is>
          <t>Pendiente</t>
        </is>
      </c>
    </row>
    <row r="137" ht="20" customHeight="1">
      <c r="A137" s="10" t="inlineStr">
        <is>
          <t>10/07/2026</t>
        </is>
      </c>
      <c r="B137" s="32" t="n">
        <v>3412</v>
      </c>
      <c r="C137" s="12" t="inlineStr">
        <is>
          <t>ZOE</t>
        </is>
      </c>
      <c r="D137" s="12" t="inlineStr">
        <is>
          <t>BEIGE</t>
        </is>
      </c>
      <c r="E137" s="13" t="n">
        <v>12</v>
      </c>
      <c r="F137" s="13" t="n">
        <v>12</v>
      </c>
      <c r="G137" s="13">
        <f>E137-F137</f>
        <v/>
      </c>
      <c r="H137" s="21">
        <f>IF(E137&gt;0, F137/E137, 0)</f>
        <v/>
      </c>
      <c r="I137" s="33" t="inlineStr">
        <is>
          <t>Completo</t>
        </is>
      </c>
    </row>
    <row r="138" ht="20" customHeight="1">
      <c r="A138" s="16" t="inlineStr">
        <is>
          <t>10/07/2026</t>
        </is>
      </c>
      <c r="B138" s="34" t="n">
        <v>3413</v>
      </c>
      <c r="C138" s="18" t="inlineStr">
        <is>
          <t>ZOE</t>
        </is>
      </c>
      <c r="D138" s="18" t="inlineStr">
        <is>
          <t>BEIGE</t>
        </is>
      </c>
      <c r="E138" s="19" t="n">
        <v>12</v>
      </c>
      <c r="F138" s="19" t="n">
        <v>12</v>
      </c>
      <c r="G138" s="19">
        <f>E138-F138</f>
        <v/>
      </c>
      <c r="H138" s="35">
        <f>IF(E138&gt;0, F138/E138, 0)</f>
        <v/>
      </c>
      <c r="I138" s="33" t="inlineStr">
        <is>
          <t>Completo</t>
        </is>
      </c>
    </row>
    <row r="139" ht="20" customHeight="1">
      <c r="A139" s="10" t="inlineStr">
        <is>
          <t>10/07/2026</t>
        </is>
      </c>
      <c r="B139" s="32" t="n">
        <v>3405</v>
      </c>
      <c r="C139" s="12" t="inlineStr">
        <is>
          <t>ZOE</t>
        </is>
      </c>
      <c r="D139" s="12" t="inlineStr">
        <is>
          <t>CHERRY</t>
        </is>
      </c>
      <c r="E139" s="13" t="n">
        <v>12</v>
      </c>
      <c r="F139" s="13" t="n">
        <v>12</v>
      </c>
      <c r="G139" s="13">
        <f>E139-F139</f>
        <v/>
      </c>
      <c r="H139" s="21">
        <f>IF(E139&gt;0, F139/E139, 0)</f>
        <v/>
      </c>
      <c r="I139" s="33" t="inlineStr">
        <is>
          <t>Completo</t>
        </is>
      </c>
    </row>
    <row r="140" ht="20" customHeight="1">
      <c r="A140" s="16" t="inlineStr">
        <is>
          <t>10/07/2026</t>
        </is>
      </c>
      <c r="B140" s="34" t="n">
        <v>3406</v>
      </c>
      <c r="C140" s="18" t="inlineStr">
        <is>
          <t>ZOE</t>
        </is>
      </c>
      <c r="D140" s="18" t="inlineStr">
        <is>
          <t>CHERRY</t>
        </is>
      </c>
      <c r="E140" s="19" t="n">
        <v>12</v>
      </c>
      <c r="F140" s="19" t="n">
        <v>12</v>
      </c>
      <c r="G140" s="19">
        <f>E140-F140</f>
        <v/>
      </c>
      <c r="H140" s="35">
        <f>IF(E140&gt;0, F140/E140, 0)</f>
        <v/>
      </c>
      <c r="I140" s="33" t="inlineStr">
        <is>
          <t>Completo</t>
        </is>
      </c>
    </row>
    <row r="141" ht="20" customHeight="1">
      <c r="A141" s="10" t="inlineStr">
        <is>
          <t>10/07/2026</t>
        </is>
      </c>
      <c r="B141" s="32" t="n">
        <v>3407</v>
      </c>
      <c r="C141" s="12" t="inlineStr">
        <is>
          <t>ZOE</t>
        </is>
      </c>
      <c r="D141" s="12" t="inlineStr">
        <is>
          <t>CHERRY</t>
        </is>
      </c>
      <c r="E141" s="13" t="n">
        <v>12</v>
      </c>
      <c r="F141" s="13" t="n">
        <v>12</v>
      </c>
      <c r="G141" s="13">
        <f>E141-F141</f>
        <v/>
      </c>
      <c r="H141" s="21">
        <f>IF(E141&gt;0, F141/E141, 0)</f>
        <v/>
      </c>
      <c r="I141" s="33" t="inlineStr">
        <is>
          <t>Completo</t>
        </is>
      </c>
    </row>
    <row r="142" ht="20" customHeight="1">
      <c r="A142" s="16" t="inlineStr">
        <is>
          <t>10/07/2026</t>
        </is>
      </c>
      <c r="B142" s="34" t="n">
        <v>3408</v>
      </c>
      <c r="C142" s="18" t="inlineStr">
        <is>
          <t>ZOE</t>
        </is>
      </c>
      <c r="D142" s="18" t="inlineStr">
        <is>
          <t>CHERRY</t>
        </is>
      </c>
      <c r="E142" s="19" t="n">
        <v>12</v>
      </c>
      <c r="F142" s="19" t="n">
        <v>12</v>
      </c>
      <c r="G142" s="19">
        <f>E142-F142</f>
        <v/>
      </c>
      <c r="H142" s="35">
        <f>IF(E142&gt;0, F142/E142, 0)</f>
        <v/>
      </c>
      <c r="I142" s="33" t="inlineStr">
        <is>
          <t>Completo</t>
        </is>
      </c>
    </row>
    <row r="143" ht="20" customHeight="1">
      <c r="A143" s="10" t="inlineStr">
        <is>
          <t>10/07/2026</t>
        </is>
      </c>
      <c r="B143" s="32" t="n">
        <v>3409</v>
      </c>
      <c r="C143" s="12" t="inlineStr">
        <is>
          <t>ZOE</t>
        </is>
      </c>
      <c r="D143" s="12" t="inlineStr">
        <is>
          <t>CHERRY</t>
        </is>
      </c>
      <c r="E143" s="13" t="n">
        <v>12</v>
      </c>
      <c r="F143" s="13" t="n">
        <v>12</v>
      </c>
      <c r="G143" s="13">
        <f>E143-F143</f>
        <v/>
      </c>
      <c r="H143" s="21">
        <f>IF(E143&gt;0, F143/E143, 0)</f>
        <v/>
      </c>
      <c r="I143" s="33" t="inlineStr">
        <is>
          <t>Completo</t>
        </is>
      </c>
    </row>
    <row r="144" ht="20" customHeight="1">
      <c r="A144" s="16" t="inlineStr">
        <is>
          <t>10/07/2026</t>
        </is>
      </c>
      <c r="B144" s="34" t="n">
        <v>3399</v>
      </c>
      <c r="C144" s="18" t="inlineStr">
        <is>
          <t>ZOE</t>
        </is>
      </c>
      <c r="D144" s="18" t="inlineStr">
        <is>
          <t>NEGRO</t>
        </is>
      </c>
      <c r="E144" s="19" t="n">
        <v>12</v>
      </c>
      <c r="F144" s="19" t="n">
        <v>12</v>
      </c>
      <c r="G144" s="19">
        <f>E144-F144</f>
        <v/>
      </c>
      <c r="H144" s="35">
        <f>IF(E144&gt;0, F144/E144, 0)</f>
        <v/>
      </c>
      <c r="I144" s="33" t="inlineStr">
        <is>
          <t>Completo</t>
        </is>
      </c>
    </row>
    <row r="145" ht="20" customHeight="1">
      <c r="A145" s="10" t="inlineStr">
        <is>
          <t>10/07/2026</t>
        </is>
      </c>
      <c r="B145" s="32" t="n">
        <v>3400</v>
      </c>
      <c r="C145" s="12" t="inlineStr">
        <is>
          <t>ZOE</t>
        </is>
      </c>
      <c r="D145" s="12" t="inlineStr">
        <is>
          <t>NEGRO</t>
        </is>
      </c>
      <c r="E145" s="13" t="n">
        <v>12</v>
      </c>
      <c r="F145" s="13" t="n">
        <v>12</v>
      </c>
      <c r="G145" s="13">
        <f>E145-F145</f>
        <v/>
      </c>
      <c r="H145" s="21">
        <f>IF(E145&gt;0, F145/E145, 0)</f>
        <v/>
      </c>
      <c r="I145" s="33" t="inlineStr">
        <is>
          <t>Completo</t>
        </is>
      </c>
    </row>
    <row r="146" ht="20" customHeight="1">
      <c r="A146" s="16" t="inlineStr">
        <is>
          <t>10/07/2026</t>
        </is>
      </c>
      <c r="B146" s="34" t="n">
        <v>3401</v>
      </c>
      <c r="C146" s="18" t="inlineStr">
        <is>
          <t>ZOE</t>
        </is>
      </c>
      <c r="D146" s="18" t="inlineStr">
        <is>
          <t>NEGRO</t>
        </is>
      </c>
      <c r="E146" s="19" t="n">
        <v>12</v>
      </c>
      <c r="F146" s="19" t="n">
        <v>12</v>
      </c>
      <c r="G146" s="19">
        <f>E146-F146</f>
        <v/>
      </c>
      <c r="H146" s="35">
        <f>IF(E146&gt;0, F146/E146, 0)</f>
        <v/>
      </c>
      <c r="I146" s="33" t="inlineStr">
        <is>
          <t>Completo</t>
        </is>
      </c>
    </row>
    <row r="147" ht="20" customHeight="1">
      <c r="A147" s="10" t="inlineStr">
        <is>
          <t>10/07/2026</t>
        </is>
      </c>
      <c r="B147" s="32" t="n">
        <v>3402</v>
      </c>
      <c r="C147" s="12" t="inlineStr">
        <is>
          <t>ZOE</t>
        </is>
      </c>
      <c r="D147" s="12" t="inlineStr">
        <is>
          <t>NEGRO</t>
        </is>
      </c>
      <c r="E147" s="13" t="n">
        <v>12</v>
      </c>
      <c r="F147" s="13" t="n">
        <v>12</v>
      </c>
      <c r="G147" s="13">
        <f>E147-F147</f>
        <v/>
      </c>
      <c r="H147" s="21">
        <f>IF(E147&gt;0, F147/E147, 0)</f>
        <v/>
      </c>
      <c r="I147" s="33" t="inlineStr">
        <is>
          <t>Completo</t>
        </is>
      </c>
    </row>
    <row r="148" ht="20" customHeight="1">
      <c r="A148" s="16" t="inlineStr">
        <is>
          <t>10/07/2026</t>
        </is>
      </c>
      <c r="B148" s="34" t="n">
        <v>3403</v>
      </c>
      <c r="C148" s="18" t="inlineStr">
        <is>
          <t>ZOE</t>
        </is>
      </c>
      <c r="D148" s="18" t="inlineStr">
        <is>
          <t>NEGRO</t>
        </is>
      </c>
      <c r="E148" s="19" t="n">
        <v>12</v>
      </c>
      <c r="F148" s="19" t="n">
        <v>12</v>
      </c>
      <c r="G148" s="19">
        <f>E148-F148</f>
        <v/>
      </c>
      <c r="H148" s="35">
        <f>IF(E148&gt;0, F148/E148, 0)</f>
        <v/>
      </c>
      <c r="I148" s="33" t="inlineStr">
        <is>
          <t>Completo</t>
        </is>
      </c>
    </row>
    <row r="149" ht="20" customHeight="1">
      <c r="A149" s="10" t="inlineStr">
        <is>
          <t>10/07/2026</t>
        </is>
      </c>
      <c r="B149" s="32" t="n">
        <v>3404</v>
      </c>
      <c r="C149" s="12" t="inlineStr">
        <is>
          <t>ZOE</t>
        </is>
      </c>
      <c r="D149" s="12" t="inlineStr">
        <is>
          <t>NEGRO</t>
        </is>
      </c>
      <c r="E149" s="13" t="n">
        <v>12</v>
      </c>
      <c r="F149" s="13" t="n">
        <v>12</v>
      </c>
      <c r="G149" s="13">
        <f>E149-F149</f>
        <v/>
      </c>
      <c r="H149" s="21">
        <f>IF(E149&gt;0, F149/E149, 0)</f>
        <v/>
      </c>
      <c r="I149" s="33" t="inlineStr">
        <is>
          <t>Completo</t>
        </is>
      </c>
    </row>
    <row r="150" ht="20" customHeight="1">
      <c r="A150" s="16" t="inlineStr">
        <is>
          <t>05/08/2026</t>
        </is>
      </c>
      <c r="B150" s="34" t="n">
        <v>3499</v>
      </c>
      <c r="C150" s="18" t="inlineStr">
        <is>
          <t>MILUSKA</t>
        </is>
      </c>
      <c r="D150" s="18" t="inlineStr">
        <is>
          <t>MARRON</t>
        </is>
      </c>
      <c r="E150" s="19" t="n">
        <v>12</v>
      </c>
      <c r="F150" s="19" t="n">
        <v>12</v>
      </c>
      <c r="G150" s="19">
        <f>E150-F150</f>
        <v/>
      </c>
      <c r="H150" s="35">
        <f>IF(E150&gt;0, F150/E150, 0)</f>
        <v/>
      </c>
      <c r="I150" s="33" t="inlineStr">
        <is>
          <t>Completo</t>
        </is>
      </c>
    </row>
    <row r="151" ht="20" customHeight="1">
      <c r="A151" s="10" t="inlineStr">
        <is>
          <t>05/08/2026</t>
        </is>
      </c>
      <c r="B151" s="32" t="n">
        <v>3500</v>
      </c>
      <c r="C151" s="12" t="inlineStr">
        <is>
          <t>MILUSKA</t>
        </is>
      </c>
      <c r="D151" s="12" t="inlineStr">
        <is>
          <t>MARRON</t>
        </is>
      </c>
      <c r="E151" s="13" t="n">
        <v>12</v>
      </c>
      <c r="F151" s="13" t="n">
        <v>8</v>
      </c>
      <c r="G151" s="13">
        <f>E151-F151</f>
        <v/>
      </c>
      <c r="H151" s="21">
        <f>IF(E151&gt;0, F151/E151, 0)</f>
        <v/>
      </c>
      <c r="I151" s="36" t="inlineStr">
        <is>
          <t>Pendiente</t>
        </is>
      </c>
    </row>
    <row r="152" ht="20" customHeight="1">
      <c r="A152" s="16" t="inlineStr">
        <is>
          <t>05/08/2026</t>
        </is>
      </c>
      <c r="B152" s="34" t="n">
        <v>3501</v>
      </c>
      <c r="C152" s="18" t="inlineStr">
        <is>
          <t>MILUSKA</t>
        </is>
      </c>
      <c r="D152" s="18" t="inlineStr">
        <is>
          <t>NEGRO</t>
        </is>
      </c>
      <c r="E152" s="19" t="n">
        <v>12</v>
      </c>
      <c r="F152" s="19" t="n">
        <v>12</v>
      </c>
      <c r="G152" s="19">
        <f>E152-F152</f>
        <v/>
      </c>
      <c r="H152" s="35">
        <f>IF(E152&gt;0, F152/E152, 0)</f>
        <v/>
      </c>
      <c r="I152" s="33" t="inlineStr">
        <is>
          <t>Completo</t>
        </is>
      </c>
    </row>
    <row r="153" ht="20" customHeight="1">
      <c r="A153" s="10" t="inlineStr">
        <is>
          <t>18/08/2026</t>
        </is>
      </c>
      <c r="B153" s="32" t="n">
        <v>3568</v>
      </c>
      <c r="C153" s="12" t="inlineStr">
        <is>
          <t>ALESSIA</t>
        </is>
      </c>
      <c r="D153" s="12" t="inlineStr">
        <is>
          <t>BEIGE</t>
        </is>
      </c>
      <c r="E153" s="13" t="n">
        <v>12</v>
      </c>
      <c r="F153" s="13" t="n">
        <v>0</v>
      </c>
      <c r="G153" s="13">
        <f>E153-F153</f>
        <v/>
      </c>
      <c r="H153" s="21">
        <f>IF(E153&gt;0, F153/E153, 0)</f>
        <v/>
      </c>
      <c r="I153" s="36" t="inlineStr">
        <is>
          <t>Pendiente</t>
        </is>
      </c>
    </row>
    <row r="154" ht="20" customHeight="1">
      <c r="A154" s="16" t="inlineStr">
        <is>
          <t>18/08/2026</t>
        </is>
      </c>
      <c r="B154" s="34" t="n">
        <v>3573</v>
      </c>
      <c r="C154" s="18" t="inlineStr">
        <is>
          <t>ALESSIA</t>
        </is>
      </c>
      <c r="D154" s="18" t="inlineStr">
        <is>
          <t>MARRON</t>
        </is>
      </c>
      <c r="E154" s="19" t="n">
        <v>12</v>
      </c>
      <c r="F154" s="19" t="n">
        <v>0</v>
      </c>
      <c r="G154" s="19">
        <f>E154-F154</f>
        <v/>
      </c>
      <c r="H154" s="35">
        <f>IF(E154&gt;0, F154/E154, 0)</f>
        <v/>
      </c>
      <c r="I154" s="36" t="inlineStr">
        <is>
          <t>Pendiente</t>
        </is>
      </c>
    </row>
    <row r="155" ht="20" customHeight="1">
      <c r="A155" s="10" t="inlineStr">
        <is>
          <t>18/08/2026</t>
        </is>
      </c>
      <c r="B155" s="32" t="n">
        <v>3574</v>
      </c>
      <c r="C155" s="12" t="inlineStr">
        <is>
          <t>ALESSIA</t>
        </is>
      </c>
      <c r="D155" s="12" t="inlineStr">
        <is>
          <t>MARRON</t>
        </is>
      </c>
      <c r="E155" s="13" t="n">
        <v>12</v>
      </c>
      <c r="F155" s="13" t="n">
        <v>0</v>
      </c>
      <c r="G155" s="13">
        <f>E155-F155</f>
        <v/>
      </c>
      <c r="H155" s="21">
        <f>IF(E155&gt;0, F155/E155, 0)</f>
        <v/>
      </c>
      <c r="I155" s="36" t="inlineStr">
        <is>
          <t>Pendiente</t>
        </is>
      </c>
    </row>
    <row r="156" ht="20" customHeight="1">
      <c r="A156" s="16" t="inlineStr">
        <is>
          <t>18/08/2026</t>
        </is>
      </c>
      <c r="B156" s="34" t="n">
        <v>3575</v>
      </c>
      <c r="C156" s="18" t="inlineStr">
        <is>
          <t>ALESSIA</t>
        </is>
      </c>
      <c r="D156" s="18" t="inlineStr">
        <is>
          <t>MARRON</t>
        </is>
      </c>
      <c r="E156" s="19" t="n">
        <v>12</v>
      </c>
      <c r="F156" s="19" t="n">
        <v>0</v>
      </c>
      <c r="G156" s="19">
        <f>E156-F156</f>
        <v/>
      </c>
      <c r="H156" s="35">
        <f>IF(E156&gt;0, F156/E156, 0)</f>
        <v/>
      </c>
      <c r="I156" s="36" t="inlineStr">
        <is>
          <t>Pendiente</t>
        </is>
      </c>
    </row>
    <row r="157" ht="20" customHeight="1">
      <c r="A157" s="10" t="inlineStr">
        <is>
          <t>18/08/2026</t>
        </is>
      </c>
      <c r="B157" s="32" t="n">
        <v>3562</v>
      </c>
      <c r="C157" s="12" t="inlineStr">
        <is>
          <t>ALESSIA</t>
        </is>
      </c>
      <c r="D157" s="12" t="inlineStr">
        <is>
          <t>NEGRO</t>
        </is>
      </c>
      <c r="E157" s="13" t="n">
        <v>12</v>
      </c>
      <c r="F157" s="13" t="n">
        <v>0</v>
      </c>
      <c r="G157" s="13">
        <f>E157-F157</f>
        <v/>
      </c>
      <c r="H157" s="21">
        <f>IF(E157&gt;0, F157/E157, 0)</f>
        <v/>
      </c>
      <c r="I157" s="36" t="inlineStr">
        <is>
          <t>Pendiente</t>
        </is>
      </c>
    </row>
    <row r="158" ht="20" customHeight="1">
      <c r="A158" s="16" t="inlineStr">
        <is>
          <t>18/08/2026</t>
        </is>
      </c>
      <c r="B158" s="34" t="n">
        <v>3563</v>
      </c>
      <c r="C158" s="18" t="inlineStr">
        <is>
          <t>ALESSIA</t>
        </is>
      </c>
      <c r="D158" s="18" t="inlineStr">
        <is>
          <t>NEGRO</t>
        </is>
      </c>
      <c r="E158" s="19" t="n">
        <v>12</v>
      </c>
      <c r="F158" s="19" t="n">
        <v>0</v>
      </c>
      <c r="G158" s="19">
        <f>E158-F158</f>
        <v/>
      </c>
      <c r="H158" s="35">
        <f>IF(E158&gt;0, F158/E158, 0)</f>
        <v/>
      </c>
      <c r="I158" s="36" t="inlineStr">
        <is>
          <t>Pendiente</t>
        </is>
      </c>
    </row>
    <row r="159" ht="20" customHeight="1">
      <c r="A159" s="10" t="inlineStr">
        <is>
          <t>18/08/2026</t>
        </is>
      </c>
      <c r="B159" s="32" t="n">
        <v>3564</v>
      </c>
      <c r="C159" s="12" t="inlineStr">
        <is>
          <t>ALESSIA</t>
        </is>
      </c>
      <c r="D159" s="12" t="inlineStr">
        <is>
          <t>NEGRO</t>
        </is>
      </c>
      <c r="E159" s="13" t="n">
        <v>12</v>
      </c>
      <c r="F159" s="13" t="n">
        <v>0</v>
      </c>
      <c r="G159" s="13">
        <f>E159-F159</f>
        <v/>
      </c>
      <c r="H159" s="21">
        <f>IF(E159&gt;0, F159/E159, 0)</f>
        <v/>
      </c>
      <c r="I159" s="36" t="inlineStr">
        <is>
          <t>Pendiente</t>
        </is>
      </c>
    </row>
    <row r="160" ht="20" customHeight="1">
      <c r="A160" s="16" t="inlineStr">
        <is>
          <t>18/08/2026</t>
        </is>
      </c>
      <c r="B160" s="34" t="n">
        <v>3565</v>
      </c>
      <c r="C160" s="18" t="inlineStr">
        <is>
          <t>ALESSIA</t>
        </is>
      </c>
      <c r="D160" s="18" t="inlineStr">
        <is>
          <t>NEGRO</t>
        </is>
      </c>
      <c r="E160" s="19" t="n">
        <v>12</v>
      </c>
      <c r="F160" s="19" t="n">
        <v>0</v>
      </c>
      <c r="G160" s="19">
        <f>E160-F160</f>
        <v/>
      </c>
      <c r="H160" s="35">
        <f>IF(E160&gt;0, F160/E160, 0)</f>
        <v/>
      </c>
      <c r="I160" s="36" t="inlineStr">
        <is>
          <t>Pendiente</t>
        </is>
      </c>
    </row>
    <row r="161" ht="20" customHeight="1">
      <c r="A161" s="10" t="inlineStr">
        <is>
          <t>18/08/2026</t>
        </is>
      </c>
      <c r="B161" s="32" t="n">
        <v>3566</v>
      </c>
      <c r="C161" s="12" t="inlineStr">
        <is>
          <t>ALESSIA</t>
        </is>
      </c>
      <c r="D161" s="12" t="inlineStr">
        <is>
          <t>NEGRO</t>
        </is>
      </c>
      <c r="E161" s="13" t="n">
        <v>12</v>
      </c>
      <c r="F161" s="13" t="n">
        <v>0</v>
      </c>
      <c r="G161" s="13">
        <f>E161-F161</f>
        <v/>
      </c>
      <c r="H161" s="21">
        <f>IF(E161&gt;0, F161/E161, 0)</f>
        <v/>
      </c>
      <c r="I161" s="36" t="inlineStr">
        <is>
          <t>Pendiente</t>
        </is>
      </c>
    </row>
    <row r="162" ht="20" customHeight="1">
      <c r="A162" s="16" t="inlineStr">
        <is>
          <t>18/08/2026</t>
        </is>
      </c>
      <c r="B162" s="34" t="n">
        <v>3567</v>
      </c>
      <c r="C162" s="18" t="inlineStr">
        <is>
          <t>ALESSIA</t>
        </is>
      </c>
      <c r="D162" s="18" t="inlineStr">
        <is>
          <t>NEGRO</t>
        </is>
      </c>
      <c r="E162" s="19" t="n">
        <v>12</v>
      </c>
      <c r="F162" s="19" t="n">
        <v>0</v>
      </c>
      <c r="G162" s="19">
        <f>E162-F162</f>
        <v/>
      </c>
      <c r="H162" s="35">
        <f>IF(E162&gt;0, F162/E162, 0)</f>
        <v/>
      </c>
      <c r="I162" s="36" t="inlineStr">
        <is>
          <t>Pendiente</t>
        </is>
      </c>
    </row>
    <row r="163" ht="20" customHeight="1">
      <c r="A163" s="10" t="inlineStr">
        <is>
          <t>18/08/2026</t>
        </is>
      </c>
      <c r="B163" s="32" t="n">
        <v>3528</v>
      </c>
      <c r="C163" s="12" t="inlineStr">
        <is>
          <t>FLAVIA</t>
        </is>
      </c>
      <c r="D163" s="12" t="inlineStr">
        <is>
          <t>BEIGE</t>
        </is>
      </c>
      <c r="E163" s="13" t="n">
        <v>12</v>
      </c>
      <c r="F163" s="13" t="n">
        <v>0</v>
      </c>
      <c r="G163" s="13">
        <f>E163-F163</f>
        <v/>
      </c>
      <c r="H163" s="21">
        <f>IF(E163&gt;0, F163/E163, 0)</f>
        <v/>
      </c>
      <c r="I163" s="36" t="inlineStr">
        <is>
          <t>Pendiente</t>
        </is>
      </c>
    </row>
    <row r="164" ht="20" customHeight="1">
      <c r="A164" s="16" t="inlineStr">
        <is>
          <t>18/08/2026</t>
        </is>
      </c>
      <c r="B164" s="34" t="n">
        <v>3529</v>
      </c>
      <c r="C164" s="18" t="inlineStr">
        <is>
          <t>FLAVIA</t>
        </is>
      </c>
      <c r="D164" s="18" t="inlineStr">
        <is>
          <t>BEIGE</t>
        </is>
      </c>
      <c r="E164" s="19" t="n">
        <v>12</v>
      </c>
      <c r="F164" s="19" t="n">
        <v>0</v>
      </c>
      <c r="G164" s="19">
        <f>E164-F164</f>
        <v/>
      </c>
      <c r="H164" s="35">
        <f>IF(E164&gt;0, F164/E164, 0)</f>
        <v/>
      </c>
      <c r="I164" s="36" t="inlineStr">
        <is>
          <t>Pendiente</t>
        </is>
      </c>
    </row>
    <row r="165" ht="20" customHeight="1">
      <c r="A165" s="10" t="inlineStr">
        <is>
          <t>18/08/2026</t>
        </is>
      </c>
      <c r="B165" s="32" t="n">
        <v>3530</v>
      </c>
      <c r="C165" s="12" t="inlineStr">
        <is>
          <t>FLAVIA</t>
        </is>
      </c>
      <c r="D165" s="12" t="inlineStr">
        <is>
          <t>BEIGE</t>
        </is>
      </c>
      <c r="E165" s="13" t="n">
        <v>12</v>
      </c>
      <c r="F165" s="13" t="n">
        <v>0</v>
      </c>
      <c r="G165" s="13">
        <f>E165-F165</f>
        <v/>
      </c>
      <c r="H165" s="21">
        <f>IF(E165&gt;0, F165/E165, 0)</f>
        <v/>
      </c>
      <c r="I165" s="36" t="inlineStr">
        <is>
          <t>Pendiente</t>
        </is>
      </c>
    </row>
    <row r="166" ht="20" customHeight="1">
      <c r="A166" s="16" t="inlineStr">
        <is>
          <t>18/08/2026</t>
        </is>
      </c>
      <c r="B166" s="34" t="n">
        <v>3531</v>
      </c>
      <c r="C166" s="18" t="inlineStr">
        <is>
          <t>FLAVIA</t>
        </is>
      </c>
      <c r="D166" s="18" t="inlineStr">
        <is>
          <t>BEIGE</t>
        </is>
      </c>
      <c r="E166" s="19" t="n">
        <v>12</v>
      </c>
      <c r="F166" s="19" t="n">
        <v>0</v>
      </c>
      <c r="G166" s="19">
        <f>E166-F166</f>
        <v/>
      </c>
      <c r="H166" s="35">
        <f>IF(E166&gt;0, F166/E166, 0)</f>
        <v/>
      </c>
      <c r="I166" s="36" t="inlineStr">
        <is>
          <t>Pendiente</t>
        </is>
      </c>
    </row>
    <row r="167" ht="20" customHeight="1">
      <c r="A167" s="10" t="inlineStr">
        <is>
          <t>18/08/2026</t>
        </is>
      </c>
      <c r="B167" s="32" t="n">
        <v>3523</v>
      </c>
      <c r="C167" s="12" t="inlineStr">
        <is>
          <t>FLAVIA</t>
        </is>
      </c>
      <c r="D167" s="12" t="inlineStr">
        <is>
          <t>MARRON</t>
        </is>
      </c>
      <c r="E167" s="13" t="n">
        <v>12</v>
      </c>
      <c r="F167" s="13" t="n">
        <v>0</v>
      </c>
      <c r="G167" s="13">
        <f>E167-F167</f>
        <v/>
      </c>
      <c r="H167" s="21">
        <f>IF(E167&gt;0, F167/E167, 0)</f>
        <v/>
      </c>
      <c r="I167" s="36" t="inlineStr">
        <is>
          <t>Pendiente</t>
        </is>
      </c>
    </row>
    <row r="168" ht="20" customHeight="1">
      <c r="A168" s="16" t="inlineStr">
        <is>
          <t>18/08/2026</t>
        </is>
      </c>
      <c r="B168" s="34" t="n">
        <v>3524</v>
      </c>
      <c r="C168" s="18" t="inlineStr">
        <is>
          <t>FLAVIA</t>
        </is>
      </c>
      <c r="D168" s="18" t="inlineStr">
        <is>
          <t>MARRON</t>
        </is>
      </c>
      <c r="E168" s="19" t="n">
        <v>12</v>
      </c>
      <c r="F168" s="19" t="n">
        <v>0</v>
      </c>
      <c r="G168" s="19">
        <f>E168-F168</f>
        <v/>
      </c>
      <c r="H168" s="35">
        <f>IF(E168&gt;0, F168/E168, 0)</f>
        <v/>
      </c>
      <c r="I168" s="36" t="inlineStr">
        <is>
          <t>Pendiente</t>
        </is>
      </c>
    </row>
    <row r="169" ht="20" customHeight="1">
      <c r="A169" s="10" t="inlineStr">
        <is>
          <t>18/08/2026</t>
        </is>
      </c>
      <c r="B169" s="32" t="n">
        <v>3525</v>
      </c>
      <c r="C169" s="12" t="inlineStr">
        <is>
          <t>FLAVIA</t>
        </is>
      </c>
      <c r="D169" s="12" t="inlineStr">
        <is>
          <t>MARRON</t>
        </is>
      </c>
      <c r="E169" s="13" t="n">
        <v>12</v>
      </c>
      <c r="F169" s="13" t="n">
        <v>0</v>
      </c>
      <c r="G169" s="13">
        <f>E169-F169</f>
        <v/>
      </c>
      <c r="H169" s="21">
        <f>IF(E169&gt;0, F169/E169, 0)</f>
        <v/>
      </c>
      <c r="I169" s="36" t="inlineStr">
        <is>
          <t>Pendiente</t>
        </is>
      </c>
    </row>
    <row r="170" ht="20" customHeight="1">
      <c r="A170" s="16" t="inlineStr">
        <is>
          <t>18/08/2026</t>
        </is>
      </c>
      <c r="B170" s="34" t="n">
        <v>3526</v>
      </c>
      <c r="C170" s="18" t="inlineStr">
        <is>
          <t>FLAVIA</t>
        </is>
      </c>
      <c r="D170" s="18" t="inlineStr">
        <is>
          <t>MARRON</t>
        </is>
      </c>
      <c r="E170" s="19" t="n">
        <v>12</v>
      </c>
      <c r="F170" s="19" t="n">
        <v>0</v>
      </c>
      <c r="G170" s="19">
        <f>E170-F170</f>
        <v/>
      </c>
      <c r="H170" s="35">
        <f>IF(E170&gt;0, F170/E170, 0)</f>
        <v/>
      </c>
      <c r="I170" s="36" t="inlineStr">
        <is>
          <t>Pendiente</t>
        </is>
      </c>
    </row>
    <row r="171" ht="20" customHeight="1">
      <c r="A171" s="10" t="inlineStr">
        <is>
          <t>18/08/2026</t>
        </is>
      </c>
      <c r="B171" s="32" t="n">
        <v>3527</v>
      </c>
      <c r="C171" s="12" t="inlineStr">
        <is>
          <t>FLAVIA</t>
        </is>
      </c>
      <c r="D171" s="12" t="inlineStr">
        <is>
          <t>MARRON</t>
        </is>
      </c>
      <c r="E171" s="13" t="n">
        <v>12</v>
      </c>
      <c r="F171" s="13" t="n">
        <v>0</v>
      </c>
      <c r="G171" s="13">
        <f>E171-F171</f>
        <v/>
      </c>
      <c r="H171" s="21">
        <f>IF(E171&gt;0, F171/E171, 0)</f>
        <v/>
      </c>
      <c r="I171" s="36" t="inlineStr">
        <is>
          <t>Pendiente</t>
        </is>
      </c>
    </row>
    <row r="172" ht="20" customHeight="1">
      <c r="A172" s="16" t="inlineStr">
        <is>
          <t>18/08/2026</t>
        </is>
      </c>
      <c r="B172" s="34" t="n">
        <v>3517</v>
      </c>
      <c r="C172" s="18" t="inlineStr">
        <is>
          <t>FLAVIA</t>
        </is>
      </c>
      <c r="D172" s="18" t="inlineStr">
        <is>
          <t>NEGRO</t>
        </is>
      </c>
      <c r="E172" s="19" t="n">
        <v>12</v>
      </c>
      <c r="F172" s="19" t="n">
        <v>0</v>
      </c>
      <c r="G172" s="19">
        <f>E172-F172</f>
        <v/>
      </c>
      <c r="H172" s="35">
        <f>IF(E172&gt;0, F172/E172, 0)</f>
        <v/>
      </c>
      <c r="I172" s="36" t="inlineStr">
        <is>
          <t>Pendiente</t>
        </is>
      </c>
    </row>
    <row r="173" ht="20" customHeight="1">
      <c r="A173" s="10" t="inlineStr">
        <is>
          <t>18/08/2026</t>
        </is>
      </c>
      <c r="B173" s="32" t="n">
        <v>3518</v>
      </c>
      <c r="C173" s="12" t="inlineStr">
        <is>
          <t>FLAVIA</t>
        </is>
      </c>
      <c r="D173" s="12" t="inlineStr">
        <is>
          <t>NEGRO</t>
        </is>
      </c>
      <c r="E173" s="13" t="n">
        <v>12</v>
      </c>
      <c r="F173" s="13" t="n">
        <v>0</v>
      </c>
      <c r="G173" s="13">
        <f>E173-F173</f>
        <v/>
      </c>
      <c r="H173" s="21">
        <f>IF(E173&gt;0, F173/E173, 0)</f>
        <v/>
      </c>
      <c r="I173" s="36" t="inlineStr">
        <is>
          <t>Pendiente</t>
        </is>
      </c>
    </row>
    <row r="174" ht="20" customHeight="1">
      <c r="A174" s="16" t="inlineStr">
        <is>
          <t>18/08/2026</t>
        </is>
      </c>
      <c r="B174" s="34" t="n">
        <v>3519</v>
      </c>
      <c r="C174" s="18" t="inlineStr">
        <is>
          <t>FLAVIA</t>
        </is>
      </c>
      <c r="D174" s="18" t="inlineStr">
        <is>
          <t>NEGRO</t>
        </is>
      </c>
      <c r="E174" s="19" t="n">
        <v>12</v>
      </c>
      <c r="F174" s="19" t="n">
        <v>0</v>
      </c>
      <c r="G174" s="19">
        <f>E174-F174</f>
        <v/>
      </c>
      <c r="H174" s="35">
        <f>IF(E174&gt;0, F174/E174, 0)</f>
        <v/>
      </c>
      <c r="I174" s="36" t="inlineStr">
        <is>
          <t>Pendiente</t>
        </is>
      </c>
    </row>
    <row r="175" ht="20" customHeight="1">
      <c r="A175" s="10" t="inlineStr">
        <is>
          <t>18/08/2026</t>
        </is>
      </c>
      <c r="B175" s="32" t="n">
        <v>3520</v>
      </c>
      <c r="C175" s="12" t="inlineStr">
        <is>
          <t>FLAVIA</t>
        </is>
      </c>
      <c r="D175" s="12" t="inlineStr">
        <is>
          <t>NEGRO</t>
        </is>
      </c>
      <c r="E175" s="13" t="n">
        <v>12</v>
      </c>
      <c r="F175" s="13" t="n">
        <v>0</v>
      </c>
      <c r="G175" s="13">
        <f>E175-F175</f>
        <v/>
      </c>
      <c r="H175" s="21">
        <f>IF(E175&gt;0, F175/E175, 0)</f>
        <v/>
      </c>
      <c r="I175" s="36" t="inlineStr">
        <is>
          <t>Pendiente</t>
        </is>
      </c>
    </row>
    <row r="176" ht="20" customHeight="1">
      <c r="A176" s="16" t="inlineStr">
        <is>
          <t>18/08/2026</t>
        </is>
      </c>
      <c r="B176" s="34" t="n">
        <v>3521</v>
      </c>
      <c r="C176" s="18" t="inlineStr">
        <is>
          <t>FLAVIA</t>
        </is>
      </c>
      <c r="D176" s="18" t="inlineStr">
        <is>
          <t>NEGRO</t>
        </is>
      </c>
      <c r="E176" s="19" t="n">
        <v>12</v>
      </c>
      <c r="F176" s="19" t="n">
        <v>0</v>
      </c>
      <c r="G176" s="19">
        <f>E176-F176</f>
        <v/>
      </c>
      <c r="H176" s="35">
        <f>IF(E176&gt;0, F176/E176, 0)</f>
        <v/>
      </c>
      <c r="I176" s="36" t="inlineStr">
        <is>
          <t>Pendiente</t>
        </is>
      </c>
    </row>
    <row r="177" ht="20" customHeight="1">
      <c r="A177" s="10" t="inlineStr">
        <is>
          <t>18/08/2026</t>
        </is>
      </c>
      <c r="B177" s="32" t="n">
        <v>3522</v>
      </c>
      <c r="C177" s="12" t="inlineStr">
        <is>
          <t>FLAVIA</t>
        </is>
      </c>
      <c r="D177" s="12" t="inlineStr">
        <is>
          <t>NEGRO</t>
        </is>
      </c>
      <c r="E177" s="13" t="n">
        <v>12</v>
      </c>
      <c r="F177" s="13" t="n">
        <v>0</v>
      </c>
      <c r="G177" s="13">
        <f>E177-F177</f>
        <v/>
      </c>
      <c r="H177" s="21">
        <f>IF(E177&gt;0, F177/E177, 0)</f>
        <v/>
      </c>
      <c r="I177" s="36" t="inlineStr">
        <is>
          <t>Pendiente</t>
        </is>
      </c>
    </row>
    <row r="178" ht="20" customHeight="1">
      <c r="A178" s="16" t="inlineStr">
        <is>
          <t>18/08/2026</t>
        </is>
      </c>
      <c r="B178" s="34" t="n">
        <v>3513</v>
      </c>
      <c r="C178" s="18" t="inlineStr">
        <is>
          <t>GRISSEL</t>
        </is>
      </c>
      <c r="D178" s="18" t="inlineStr">
        <is>
          <t>BEIGE</t>
        </is>
      </c>
      <c r="E178" s="19" t="n">
        <v>12</v>
      </c>
      <c r="F178" s="19" t="n">
        <v>0</v>
      </c>
      <c r="G178" s="19">
        <f>E178-F178</f>
        <v/>
      </c>
      <c r="H178" s="35">
        <f>IF(E178&gt;0, F178/E178, 0)</f>
        <v/>
      </c>
      <c r="I178" s="36" t="inlineStr">
        <is>
          <t>Pendiente</t>
        </is>
      </c>
    </row>
    <row r="179" ht="20" customHeight="1">
      <c r="A179" s="10" t="inlineStr">
        <is>
          <t>18/08/2026</t>
        </is>
      </c>
      <c r="B179" s="32" t="n">
        <v>3514</v>
      </c>
      <c r="C179" s="12" t="inlineStr">
        <is>
          <t>GRISSEL</t>
        </is>
      </c>
      <c r="D179" s="12" t="inlineStr">
        <is>
          <t>BEIGE</t>
        </is>
      </c>
      <c r="E179" s="13" t="n">
        <v>12</v>
      </c>
      <c r="F179" s="13" t="n">
        <v>0</v>
      </c>
      <c r="G179" s="13">
        <f>E179-F179</f>
        <v/>
      </c>
      <c r="H179" s="21">
        <f>IF(E179&gt;0, F179/E179, 0)</f>
        <v/>
      </c>
      <c r="I179" s="36" t="inlineStr">
        <is>
          <t>Pendiente</t>
        </is>
      </c>
    </row>
    <row r="180" ht="20" customHeight="1">
      <c r="A180" s="16" t="inlineStr">
        <is>
          <t>18/08/2026</t>
        </is>
      </c>
      <c r="B180" s="34" t="n">
        <v>3515</v>
      </c>
      <c r="C180" s="18" t="inlineStr">
        <is>
          <t>GRISSEL</t>
        </is>
      </c>
      <c r="D180" s="18" t="inlineStr">
        <is>
          <t>BEIGE</t>
        </is>
      </c>
      <c r="E180" s="19" t="n">
        <v>12</v>
      </c>
      <c r="F180" s="19" t="n">
        <v>0</v>
      </c>
      <c r="G180" s="19">
        <f>E180-F180</f>
        <v/>
      </c>
      <c r="H180" s="35">
        <f>IF(E180&gt;0, F180/E180, 0)</f>
        <v/>
      </c>
      <c r="I180" s="36" t="inlineStr">
        <is>
          <t>Pendiente</t>
        </is>
      </c>
    </row>
    <row r="181" ht="20" customHeight="1">
      <c r="A181" s="10" t="inlineStr">
        <is>
          <t>18/08/2026</t>
        </is>
      </c>
      <c r="B181" s="32" t="n">
        <v>3516</v>
      </c>
      <c r="C181" s="12" t="inlineStr">
        <is>
          <t>GRISSEL</t>
        </is>
      </c>
      <c r="D181" s="12" t="inlineStr">
        <is>
          <t>BEIGE</t>
        </is>
      </c>
      <c r="E181" s="13" t="n">
        <v>12</v>
      </c>
      <c r="F181" s="13" t="n">
        <v>0</v>
      </c>
      <c r="G181" s="13">
        <f>E181-F181</f>
        <v/>
      </c>
      <c r="H181" s="21">
        <f>IF(E181&gt;0, F181/E181, 0)</f>
        <v/>
      </c>
      <c r="I181" s="36" t="inlineStr">
        <is>
          <t>Pendiente</t>
        </is>
      </c>
    </row>
    <row r="182" ht="20" customHeight="1">
      <c r="A182" s="16" t="inlineStr">
        <is>
          <t>18/08/2026</t>
        </is>
      </c>
      <c r="B182" s="34" t="n">
        <v>3508</v>
      </c>
      <c r="C182" s="18" t="inlineStr">
        <is>
          <t>GRISSEL</t>
        </is>
      </c>
      <c r="D182" s="18" t="inlineStr">
        <is>
          <t>CAMEL</t>
        </is>
      </c>
      <c r="E182" s="19" t="n">
        <v>12</v>
      </c>
      <c r="F182" s="19" t="n">
        <v>0</v>
      </c>
      <c r="G182" s="19">
        <f>E182-F182</f>
        <v/>
      </c>
      <c r="H182" s="35">
        <f>IF(E182&gt;0, F182/E182, 0)</f>
        <v/>
      </c>
      <c r="I182" s="36" t="inlineStr">
        <is>
          <t>Pendiente</t>
        </is>
      </c>
    </row>
    <row r="183" ht="20" customHeight="1">
      <c r="A183" s="10" t="inlineStr">
        <is>
          <t>18/08/2026</t>
        </is>
      </c>
      <c r="B183" s="32" t="n">
        <v>3509</v>
      </c>
      <c r="C183" s="12" t="inlineStr">
        <is>
          <t>GRISSEL</t>
        </is>
      </c>
      <c r="D183" s="12" t="inlineStr">
        <is>
          <t>CAMEL</t>
        </is>
      </c>
      <c r="E183" s="13" t="n">
        <v>12</v>
      </c>
      <c r="F183" s="13" t="n">
        <v>0</v>
      </c>
      <c r="G183" s="13">
        <f>E183-F183</f>
        <v/>
      </c>
      <c r="H183" s="21">
        <f>IF(E183&gt;0, F183/E183, 0)</f>
        <v/>
      </c>
      <c r="I183" s="36" t="inlineStr">
        <is>
          <t>Pendiente</t>
        </is>
      </c>
    </row>
    <row r="184" ht="20" customHeight="1">
      <c r="A184" s="16" t="inlineStr">
        <is>
          <t>18/08/2026</t>
        </is>
      </c>
      <c r="B184" s="34" t="n">
        <v>3510</v>
      </c>
      <c r="C184" s="18" t="inlineStr">
        <is>
          <t>GRISSEL</t>
        </is>
      </c>
      <c r="D184" s="18" t="inlineStr">
        <is>
          <t>CAMEL</t>
        </is>
      </c>
      <c r="E184" s="19" t="n">
        <v>12</v>
      </c>
      <c r="F184" s="19" t="n">
        <v>0</v>
      </c>
      <c r="G184" s="19">
        <f>E184-F184</f>
        <v/>
      </c>
      <c r="H184" s="35">
        <f>IF(E184&gt;0, F184/E184, 0)</f>
        <v/>
      </c>
      <c r="I184" s="36" t="inlineStr">
        <is>
          <t>Pendiente</t>
        </is>
      </c>
    </row>
    <row r="185" ht="20" customHeight="1">
      <c r="A185" s="10" t="inlineStr">
        <is>
          <t>18/08/2026</t>
        </is>
      </c>
      <c r="B185" s="32" t="n">
        <v>3511</v>
      </c>
      <c r="C185" s="12" t="inlineStr">
        <is>
          <t>GRISSEL</t>
        </is>
      </c>
      <c r="D185" s="12" t="inlineStr">
        <is>
          <t>CAMEL</t>
        </is>
      </c>
      <c r="E185" s="13" t="n">
        <v>12</v>
      </c>
      <c r="F185" s="13" t="n">
        <v>0</v>
      </c>
      <c r="G185" s="13">
        <f>E185-F185</f>
        <v/>
      </c>
      <c r="H185" s="21">
        <f>IF(E185&gt;0, F185/E185, 0)</f>
        <v/>
      </c>
      <c r="I185" s="36" t="inlineStr">
        <is>
          <t>Pendiente</t>
        </is>
      </c>
    </row>
    <row r="186" ht="20" customHeight="1">
      <c r="A186" s="16" t="inlineStr">
        <is>
          <t>18/08/2026</t>
        </is>
      </c>
      <c r="B186" s="34" t="n">
        <v>3512</v>
      </c>
      <c r="C186" s="18" t="inlineStr">
        <is>
          <t>GRISSEL</t>
        </is>
      </c>
      <c r="D186" s="18" t="inlineStr">
        <is>
          <t>CAMEL</t>
        </is>
      </c>
      <c r="E186" s="19" t="n">
        <v>12</v>
      </c>
      <c r="F186" s="19" t="n">
        <v>0</v>
      </c>
      <c r="G186" s="19">
        <f>E186-F186</f>
        <v/>
      </c>
      <c r="H186" s="35">
        <f>IF(E186&gt;0, F186/E186, 0)</f>
        <v/>
      </c>
      <c r="I186" s="36" t="inlineStr">
        <is>
          <t>Pendiente</t>
        </is>
      </c>
    </row>
    <row r="187" ht="20" customHeight="1">
      <c r="A187" s="10" t="inlineStr">
        <is>
          <t>18/08/2026</t>
        </is>
      </c>
      <c r="B187" s="32" t="n">
        <v>3502</v>
      </c>
      <c r="C187" s="12" t="inlineStr">
        <is>
          <t>GRISSEL</t>
        </is>
      </c>
      <c r="D187" s="12" t="inlineStr">
        <is>
          <t>NEGRO</t>
        </is>
      </c>
      <c r="E187" s="13" t="n">
        <v>12</v>
      </c>
      <c r="F187" s="13" t="n">
        <v>0</v>
      </c>
      <c r="G187" s="13">
        <f>E187-F187</f>
        <v/>
      </c>
      <c r="H187" s="21">
        <f>IF(E187&gt;0, F187/E187, 0)</f>
        <v/>
      </c>
      <c r="I187" s="36" t="inlineStr">
        <is>
          <t>Pendiente</t>
        </is>
      </c>
    </row>
    <row r="188" ht="20" customHeight="1">
      <c r="A188" s="16" t="inlineStr">
        <is>
          <t>18/08/2026</t>
        </is>
      </c>
      <c r="B188" s="34" t="n">
        <v>3503</v>
      </c>
      <c r="C188" s="18" t="inlineStr">
        <is>
          <t>GRISSEL</t>
        </is>
      </c>
      <c r="D188" s="18" t="inlineStr">
        <is>
          <t>NEGRO</t>
        </is>
      </c>
      <c r="E188" s="19" t="n">
        <v>12</v>
      </c>
      <c r="F188" s="19" t="n">
        <v>0</v>
      </c>
      <c r="G188" s="19">
        <f>E188-F188</f>
        <v/>
      </c>
      <c r="H188" s="35">
        <f>IF(E188&gt;0, F188/E188, 0)</f>
        <v/>
      </c>
      <c r="I188" s="36" t="inlineStr">
        <is>
          <t>Pendiente</t>
        </is>
      </c>
    </row>
    <row r="189" ht="20" customHeight="1">
      <c r="A189" s="10" t="inlineStr">
        <is>
          <t>18/08/2026</t>
        </is>
      </c>
      <c r="B189" s="32" t="n">
        <v>3504</v>
      </c>
      <c r="C189" s="12" t="inlineStr">
        <is>
          <t>GRISSEL</t>
        </is>
      </c>
      <c r="D189" s="12" t="inlineStr">
        <is>
          <t>NEGRO</t>
        </is>
      </c>
      <c r="E189" s="13" t="n">
        <v>12</v>
      </c>
      <c r="F189" s="13" t="n">
        <v>0</v>
      </c>
      <c r="G189" s="13">
        <f>E189-F189</f>
        <v/>
      </c>
      <c r="H189" s="21">
        <f>IF(E189&gt;0, F189/E189, 0)</f>
        <v/>
      </c>
      <c r="I189" s="36" t="inlineStr">
        <is>
          <t>Pendiente</t>
        </is>
      </c>
    </row>
    <row r="190" ht="20" customHeight="1">
      <c r="A190" s="16" t="inlineStr">
        <is>
          <t>18/08/2026</t>
        </is>
      </c>
      <c r="B190" s="34" t="n">
        <v>3505</v>
      </c>
      <c r="C190" s="18" t="inlineStr">
        <is>
          <t>GRISSEL</t>
        </is>
      </c>
      <c r="D190" s="18" t="inlineStr">
        <is>
          <t>NEGRO</t>
        </is>
      </c>
      <c r="E190" s="19" t="n">
        <v>12</v>
      </c>
      <c r="F190" s="19" t="n">
        <v>0</v>
      </c>
      <c r="G190" s="19">
        <f>E190-F190</f>
        <v/>
      </c>
      <c r="H190" s="35">
        <f>IF(E190&gt;0, F190/E190, 0)</f>
        <v/>
      </c>
      <c r="I190" s="36" t="inlineStr">
        <is>
          <t>Pendiente</t>
        </is>
      </c>
    </row>
    <row r="191" ht="20" customHeight="1">
      <c r="A191" s="10" t="inlineStr">
        <is>
          <t>18/08/2026</t>
        </is>
      </c>
      <c r="B191" s="32" t="n">
        <v>3506</v>
      </c>
      <c r="C191" s="12" t="inlineStr">
        <is>
          <t>GRISSEL</t>
        </is>
      </c>
      <c r="D191" s="12" t="inlineStr">
        <is>
          <t>NEGRO</t>
        </is>
      </c>
      <c r="E191" s="13" t="n">
        <v>12</v>
      </c>
      <c r="F191" s="13" t="n">
        <v>0</v>
      </c>
      <c r="G191" s="13">
        <f>E191-F191</f>
        <v/>
      </c>
      <c r="H191" s="21">
        <f>IF(E191&gt;0, F191/E191, 0)</f>
        <v/>
      </c>
      <c r="I191" s="36" t="inlineStr">
        <is>
          <t>Pendiente</t>
        </is>
      </c>
    </row>
    <row r="192" ht="20" customHeight="1">
      <c r="A192" s="16" t="inlineStr">
        <is>
          <t>18/08/2026</t>
        </is>
      </c>
      <c r="B192" s="34" t="n">
        <v>3507</v>
      </c>
      <c r="C192" s="18" t="inlineStr">
        <is>
          <t>GRISSEL</t>
        </is>
      </c>
      <c r="D192" s="18" t="inlineStr">
        <is>
          <t>NEGRO</t>
        </is>
      </c>
      <c r="E192" s="19" t="n">
        <v>12</v>
      </c>
      <c r="F192" s="19" t="n">
        <v>0</v>
      </c>
      <c r="G192" s="19">
        <f>E192-F192</f>
        <v/>
      </c>
      <c r="H192" s="35">
        <f>IF(E192&gt;0, F192/E192, 0)</f>
        <v/>
      </c>
      <c r="I192" s="36" t="inlineStr">
        <is>
          <t>Pendiente</t>
        </is>
      </c>
    </row>
    <row r="193" ht="20" customHeight="1">
      <c r="A193" s="10" t="inlineStr">
        <is>
          <t>18/08/2026</t>
        </is>
      </c>
      <c r="B193" s="32" t="n">
        <v>3543</v>
      </c>
      <c r="C193" s="12" t="inlineStr">
        <is>
          <t>LORENA</t>
        </is>
      </c>
      <c r="D193" s="12" t="inlineStr">
        <is>
          <t>CAMEL</t>
        </is>
      </c>
      <c r="E193" s="13" t="n">
        <v>12</v>
      </c>
      <c r="F193" s="13" t="n">
        <v>0</v>
      </c>
      <c r="G193" s="13">
        <f>E193-F193</f>
        <v/>
      </c>
      <c r="H193" s="21">
        <f>IF(E193&gt;0, F193/E193, 0)</f>
        <v/>
      </c>
      <c r="I193" s="36" t="inlineStr">
        <is>
          <t>Pendiente</t>
        </is>
      </c>
    </row>
    <row r="194" ht="20" customHeight="1">
      <c r="A194" s="16" t="inlineStr">
        <is>
          <t>18/08/2026</t>
        </is>
      </c>
      <c r="B194" s="34" t="n">
        <v>3544</v>
      </c>
      <c r="C194" s="18" t="inlineStr">
        <is>
          <t>LORENA</t>
        </is>
      </c>
      <c r="D194" s="18" t="inlineStr">
        <is>
          <t>CAMEL</t>
        </is>
      </c>
      <c r="E194" s="19" t="n">
        <v>12</v>
      </c>
      <c r="F194" s="19" t="n">
        <v>0</v>
      </c>
      <c r="G194" s="19">
        <f>E194-F194</f>
        <v/>
      </c>
      <c r="H194" s="35">
        <f>IF(E194&gt;0, F194/E194, 0)</f>
        <v/>
      </c>
      <c r="I194" s="36" t="inlineStr">
        <is>
          <t>Pendiente</t>
        </is>
      </c>
    </row>
    <row r="195" ht="20" customHeight="1">
      <c r="A195" s="10" t="inlineStr">
        <is>
          <t>18/08/2026</t>
        </is>
      </c>
      <c r="B195" s="32" t="n">
        <v>3545</v>
      </c>
      <c r="C195" s="12" t="inlineStr">
        <is>
          <t>LORENA</t>
        </is>
      </c>
      <c r="D195" s="12" t="inlineStr">
        <is>
          <t>CAMEL</t>
        </is>
      </c>
      <c r="E195" s="13" t="n">
        <v>12</v>
      </c>
      <c r="F195" s="13" t="n">
        <v>0</v>
      </c>
      <c r="G195" s="13">
        <f>E195-F195</f>
        <v/>
      </c>
      <c r="H195" s="21">
        <f>IF(E195&gt;0, F195/E195, 0)</f>
        <v/>
      </c>
      <c r="I195" s="36" t="inlineStr">
        <is>
          <t>Pendiente</t>
        </is>
      </c>
    </row>
    <row r="196" ht="20" customHeight="1">
      <c r="A196" s="16" t="inlineStr">
        <is>
          <t>18/08/2026</t>
        </is>
      </c>
      <c r="B196" s="34" t="n">
        <v>3546</v>
      </c>
      <c r="C196" s="18" t="inlineStr">
        <is>
          <t>LORENA</t>
        </is>
      </c>
      <c r="D196" s="18" t="inlineStr">
        <is>
          <t>CAMEL</t>
        </is>
      </c>
      <c r="E196" s="19" t="n">
        <v>12</v>
      </c>
      <c r="F196" s="19" t="n">
        <v>0</v>
      </c>
      <c r="G196" s="19">
        <f>E196-F196</f>
        <v/>
      </c>
      <c r="H196" s="35">
        <f>IF(E196&gt;0, F196/E196, 0)</f>
        <v/>
      </c>
      <c r="I196" s="36" t="inlineStr">
        <is>
          <t>Pendiente</t>
        </is>
      </c>
    </row>
    <row r="197" ht="20" customHeight="1">
      <c r="A197" s="10" t="inlineStr">
        <is>
          <t>18/08/2026</t>
        </is>
      </c>
      <c r="B197" s="32" t="n">
        <v>3532</v>
      </c>
      <c r="C197" s="12" t="inlineStr">
        <is>
          <t>LORENA</t>
        </is>
      </c>
      <c r="D197" s="12" t="inlineStr">
        <is>
          <t>NEGRO</t>
        </is>
      </c>
      <c r="E197" s="13" t="n">
        <v>12</v>
      </c>
      <c r="F197" s="13" t="n">
        <v>0</v>
      </c>
      <c r="G197" s="13">
        <f>E197-F197</f>
        <v/>
      </c>
      <c r="H197" s="21">
        <f>IF(E197&gt;0, F197/E197, 0)</f>
        <v/>
      </c>
      <c r="I197" s="36" t="inlineStr">
        <is>
          <t>Pendiente</t>
        </is>
      </c>
    </row>
    <row r="198" ht="20" customHeight="1">
      <c r="A198" s="16" t="inlineStr">
        <is>
          <t>18/08/2026</t>
        </is>
      </c>
      <c r="B198" s="34" t="n">
        <v>3533</v>
      </c>
      <c r="C198" s="18" t="inlineStr">
        <is>
          <t>LORENA</t>
        </is>
      </c>
      <c r="D198" s="18" t="inlineStr">
        <is>
          <t>NEGRO</t>
        </is>
      </c>
      <c r="E198" s="19" t="n">
        <v>12</v>
      </c>
      <c r="F198" s="19" t="n">
        <v>0</v>
      </c>
      <c r="G198" s="19">
        <f>E198-F198</f>
        <v/>
      </c>
      <c r="H198" s="35">
        <f>IF(E198&gt;0, F198/E198, 0)</f>
        <v/>
      </c>
      <c r="I198" s="36" t="inlineStr">
        <is>
          <t>Pendiente</t>
        </is>
      </c>
    </row>
    <row r="199" ht="20" customHeight="1">
      <c r="A199" s="10" t="inlineStr">
        <is>
          <t>18/08/2026</t>
        </is>
      </c>
      <c r="B199" s="32" t="n">
        <v>3534</v>
      </c>
      <c r="C199" s="12" t="inlineStr">
        <is>
          <t>LORENA</t>
        </is>
      </c>
      <c r="D199" s="12" t="inlineStr">
        <is>
          <t>NEGRO</t>
        </is>
      </c>
      <c r="E199" s="13" t="n">
        <v>12</v>
      </c>
      <c r="F199" s="13" t="n">
        <v>0</v>
      </c>
      <c r="G199" s="13">
        <f>E199-F199</f>
        <v/>
      </c>
      <c r="H199" s="21">
        <f>IF(E199&gt;0, F199/E199, 0)</f>
        <v/>
      </c>
      <c r="I199" s="36" t="inlineStr">
        <is>
          <t>Pendiente</t>
        </is>
      </c>
    </row>
    <row r="200" ht="20" customHeight="1">
      <c r="A200" s="16" t="inlineStr">
        <is>
          <t>18/08/2026</t>
        </is>
      </c>
      <c r="B200" s="34" t="n">
        <v>3535</v>
      </c>
      <c r="C200" s="18" t="inlineStr">
        <is>
          <t>LORENA</t>
        </is>
      </c>
      <c r="D200" s="18" t="inlineStr">
        <is>
          <t>NEGRO</t>
        </is>
      </c>
      <c r="E200" s="19" t="n">
        <v>12</v>
      </c>
      <c r="F200" s="19" t="n">
        <v>0</v>
      </c>
      <c r="G200" s="19">
        <f>E200-F200</f>
        <v/>
      </c>
      <c r="H200" s="35">
        <f>IF(E200&gt;0, F200/E200, 0)</f>
        <v/>
      </c>
      <c r="I200" s="36" t="inlineStr">
        <is>
          <t>Pendiente</t>
        </is>
      </c>
    </row>
    <row r="201" ht="20" customHeight="1">
      <c r="A201" s="10" t="inlineStr">
        <is>
          <t>18/08/2026</t>
        </is>
      </c>
      <c r="B201" s="32" t="n">
        <v>3536</v>
      </c>
      <c r="C201" s="12" t="inlineStr">
        <is>
          <t>LORENA</t>
        </is>
      </c>
      <c r="D201" s="12" t="inlineStr">
        <is>
          <t>NEGRO</t>
        </is>
      </c>
      <c r="E201" s="13" t="n">
        <v>12</v>
      </c>
      <c r="F201" s="13" t="n">
        <v>0</v>
      </c>
      <c r="G201" s="13">
        <f>E201-F201</f>
        <v/>
      </c>
      <c r="H201" s="21">
        <f>IF(E201&gt;0, F201/E201, 0)</f>
        <v/>
      </c>
      <c r="I201" s="36" t="inlineStr">
        <is>
          <t>Pendiente</t>
        </is>
      </c>
    </row>
    <row r="202" ht="20" customHeight="1">
      <c r="A202" s="16" t="inlineStr">
        <is>
          <t>18/08/2026</t>
        </is>
      </c>
      <c r="B202" s="34" t="n">
        <v>3537</v>
      </c>
      <c r="C202" s="18" t="inlineStr">
        <is>
          <t>LORENA</t>
        </is>
      </c>
      <c r="D202" s="18" t="inlineStr">
        <is>
          <t>NEGRO</t>
        </is>
      </c>
      <c r="E202" s="19" t="n">
        <v>12</v>
      </c>
      <c r="F202" s="19" t="n">
        <v>0</v>
      </c>
      <c r="G202" s="19">
        <f>E202-F202</f>
        <v/>
      </c>
      <c r="H202" s="35">
        <f>IF(E202&gt;0, F202/E202, 0)</f>
        <v/>
      </c>
      <c r="I202" s="36" t="inlineStr">
        <is>
          <t>Pendiente</t>
        </is>
      </c>
    </row>
    <row r="203" ht="20" customHeight="1">
      <c r="A203" s="10" t="inlineStr">
        <is>
          <t>18/08/2026</t>
        </is>
      </c>
      <c r="B203" s="32" t="n">
        <v>3538</v>
      </c>
      <c r="C203" s="12" t="inlineStr">
        <is>
          <t>LORENA</t>
        </is>
      </c>
      <c r="D203" s="12" t="inlineStr">
        <is>
          <t>VINO</t>
        </is>
      </c>
      <c r="E203" s="13" t="n">
        <v>12</v>
      </c>
      <c r="F203" s="13" t="n">
        <v>0</v>
      </c>
      <c r="G203" s="13">
        <f>E203-F203</f>
        <v/>
      </c>
      <c r="H203" s="21">
        <f>IF(E203&gt;0, F203/E203, 0)</f>
        <v/>
      </c>
      <c r="I203" s="36" t="inlineStr">
        <is>
          <t>Pendiente</t>
        </is>
      </c>
    </row>
    <row r="204" ht="20" customHeight="1">
      <c r="A204" s="16" t="inlineStr">
        <is>
          <t>18/08/2026</t>
        </is>
      </c>
      <c r="B204" s="34" t="n">
        <v>3539</v>
      </c>
      <c r="C204" s="18" t="inlineStr">
        <is>
          <t>LORENA</t>
        </is>
      </c>
      <c r="D204" s="18" t="inlineStr">
        <is>
          <t>VINO</t>
        </is>
      </c>
      <c r="E204" s="19" t="n">
        <v>12</v>
      </c>
      <c r="F204" s="19" t="n">
        <v>0</v>
      </c>
      <c r="G204" s="19">
        <f>E204-F204</f>
        <v/>
      </c>
      <c r="H204" s="35">
        <f>IF(E204&gt;0, F204/E204, 0)</f>
        <v/>
      </c>
      <c r="I204" s="36" t="inlineStr">
        <is>
          <t>Pendiente</t>
        </is>
      </c>
    </row>
    <row r="205" ht="20" customHeight="1">
      <c r="A205" s="10" t="inlineStr">
        <is>
          <t>18/08/2026</t>
        </is>
      </c>
      <c r="B205" s="32" t="n">
        <v>3540</v>
      </c>
      <c r="C205" s="12" t="inlineStr">
        <is>
          <t>LORENA</t>
        </is>
      </c>
      <c r="D205" s="12" t="inlineStr">
        <is>
          <t>VINO</t>
        </is>
      </c>
      <c r="E205" s="13" t="n">
        <v>12</v>
      </c>
      <c r="F205" s="13" t="n">
        <v>0</v>
      </c>
      <c r="G205" s="13">
        <f>E205-F205</f>
        <v/>
      </c>
      <c r="H205" s="21">
        <f>IF(E205&gt;0, F205/E205, 0)</f>
        <v/>
      </c>
      <c r="I205" s="36" t="inlineStr">
        <is>
          <t>Pendiente</t>
        </is>
      </c>
    </row>
    <row r="206" ht="20" customHeight="1">
      <c r="A206" s="16" t="inlineStr">
        <is>
          <t>18/08/2026</t>
        </is>
      </c>
      <c r="B206" s="34" t="n">
        <v>3541</v>
      </c>
      <c r="C206" s="18" t="inlineStr">
        <is>
          <t>LORENA</t>
        </is>
      </c>
      <c r="D206" s="18" t="inlineStr">
        <is>
          <t>VINO</t>
        </is>
      </c>
      <c r="E206" s="19" t="n">
        <v>12</v>
      </c>
      <c r="F206" s="19" t="n">
        <v>0</v>
      </c>
      <c r="G206" s="19">
        <f>E206-F206</f>
        <v/>
      </c>
      <c r="H206" s="35">
        <f>IF(E206&gt;0, F206/E206, 0)</f>
        <v/>
      </c>
      <c r="I206" s="36" t="inlineStr">
        <is>
          <t>Pendiente</t>
        </is>
      </c>
    </row>
    <row r="207" ht="20" customHeight="1">
      <c r="A207" s="10" t="inlineStr">
        <is>
          <t>18/08/2026</t>
        </is>
      </c>
      <c r="B207" s="32" t="n">
        <v>3542</v>
      </c>
      <c r="C207" s="12" t="inlineStr">
        <is>
          <t>LORENA</t>
        </is>
      </c>
      <c r="D207" s="12" t="inlineStr">
        <is>
          <t>VINO</t>
        </is>
      </c>
      <c r="E207" s="13" t="n">
        <v>12</v>
      </c>
      <c r="F207" s="13" t="n">
        <v>0</v>
      </c>
      <c r="G207" s="13">
        <f>E207-F207</f>
        <v/>
      </c>
      <c r="H207" s="21">
        <f>IF(E207&gt;0, F207/E207, 0)</f>
        <v/>
      </c>
      <c r="I207" s="36" t="inlineStr">
        <is>
          <t>Pendiente</t>
        </is>
      </c>
    </row>
    <row r="208" ht="20" customHeight="1">
      <c r="A208" s="16" t="inlineStr">
        <is>
          <t>18/08/2026</t>
        </is>
      </c>
      <c r="B208" s="34" t="n">
        <v>3558</v>
      </c>
      <c r="C208" s="18" t="inlineStr">
        <is>
          <t>NATALIA</t>
        </is>
      </c>
      <c r="D208" s="18" t="inlineStr">
        <is>
          <t>BEIGE</t>
        </is>
      </c>
      <c r="E208" s="19" t="n">
        <v>12</v>
      </c>
      <c r="F208" s="19" t="n">
        <v>0</v>
      </c>
      <c r="G208" s="19">
        <f>E208-F208</f>
        <v/>
      </c>
      <c r="H208" s="35">
        <f>IF(E208&gt;0, F208/E208, 0)</f>
        <v/>
      </c>
      <c r="I208" s="36" t="inlineStr">
        <is>
          <t>Pendiente</t>
        </is>
      </c>
    </row>
    <row r="209" ht="20" customHeight="1">
      <c r="A209" s="10" t="inlineStr">
        <is>
          <t>18/08/2026</t>
        </is>
      </c>
      <c r="B209" s="32" t="n">
        <v>3559</v>
      </c>
      <c r="C209" s="12" t="inlineStr">
        <is>
          <t>NATALIA</t>
        </is>
      </c>
      <c r="D209" s="12" t="inlineStr">
        <is>
          <t>BEIGE</t>
        </is>
      </c>
      <c r="E209" s="13" t="n">
        <v>12</v>
      </c>
      <c r="F209" s="13" t="n">
        <v>0</v>
      </c>
      <c r="G209" s="13">
        <f>E209-F209</f>
        <v/>
      </c>
      <c r="H209" s="21">
        <f>IF(E209&gt;0, F209/E209, 0)</f>
        <v/>
      </c>
      <c r="I209" s="36" t="inlineStr">
        <is>
          <t>Pendiente</t>
        </is>
      </c>
    </row>
    <row r="210" ht="20" customHeight="1">
      <c r="A210" s="16" t="inlineStr">
        <is>
          <t>18/08/2026</t>
        </is>
      </c>
      <c r="B210" s="34" t="n">
        <v>3560</v>
      </c>
      <c r="C210" s="18" t="inlineStr">
        <is>
          <t>NATALIA</t>
        </is>
      </c>
      <c r="D210" s="18" t="inlineStr">
        <is>
          <t>BEIGE</t>
        </is>
      </c>
      <c r="E210" s="19" t="n">
        <v>12</v>
      </c>
      <c r="F210" s="19" t="n">
        <v>0</v>
      </c>
      <c r="G210" s="19">
        <f>E210-F210</f>
        <v/>
      </c>
      <c r="H210" s="35">
        <f>IF(E210&gt;0, F210/E210, 0)</f>
        <v/>
      </c>
      <c r="I210" s="36" t="inlineStr">
        <is>
          <t>Pendiente</t>
        </is>
      </c>
    </row>
    <row r="211" ht="20" customHeight="1">
      <c r="A211" s="10" t="inlineStr">
        <is>
          <t>18/08/2026</t>
        </is>
      </c>
      <c r="B211" s="32" t="n">
        <v>3561</v>
      </c>
      <c r="C211" s="12" t="inlineStr">
        <is>
          <t>NATALIA</t>
        </is>
      </c>
      <c r="D211" s="12" t="inlineStr">
        <is>
          <t>BEIGE</t>
        </is>
      </c>
      <c r="E211" s="13" t="n">
        <v>12</v>
      </c>
      <c r="F211" s="13" t="n">
        <v>0</v>
      </c>
      <c r="G211" s="13">
        <f>E211-F211</f>
        <v/>
      </c>
      <c r="H211" s="21">
        <f>IF(E211&gt;0, F211/E211, 0)</f>
        <v/>
      </c>
      <c r="I211" s="36" t="inlineStr">
        <is>
          <t>Pendiente</t>
        </is>
      </c>
    </row>
    <row r="212" ht="20" customHeight="1">
      <c r="A212" s="16" t="inlineStr">
        <is>
          <t>18/08/2026</t>
        </is>
      </c>
      <c r="B212" s="34" t="n">
        <v>3553</v>
      </c>
      <c r="C212" s="18" t="inlineStr">
        <is>
          <t>NATALIA</t>
        </is>
      </c>
      <c r="D212" s="18" t="inlineStr">
        <is>
          <t>MARRON</t>
        </is>
      </c>
      <c r="E212" s="19" t="n">
        <v>12</v>
      </c>
      <c r="F212" s="19" t="n">
        <v>0</v>
      </c>
      <c r="G212" s="19">
        <f>E212-F212</f>
        <v/>
      </c>
      <c r="H212" s="35">
        <f>IF(E212&gt;0, F212/E212, 0)</f>
        <v/>
      </c>
      <c r="I212" s="36" t="inlineStr">
        <is>
          <t>Pendiente</t>
        </is>
      </c>
    </row>
    <row r="213" ht="20" customHeight="1">
      <c r="A213" s="10" t="inlineStr">
        <is>
          <t>18/08/2026</t>
        </is>
      </c>
      <c r="B213" s="32" t="n">
        <v>3554</v>
      </c>
      <c r="C213" s="12" t="inlineStr">
        <is>
          <t>NATALIA</t>
        </is>
      </c>
      <c r="D213" s="12" t="inlineStr">
        <is>
          <t>MARRON</t>
        </is>
      </c>
      <c r="E213" s="13" t="n">
        <v>12</v>
      </c>
      <c r="F213" s="13" t="n">
        <v>0</v>
      </c>
      <c r="G213" s="13">
        <f>E213-F213</f>
        <v/>
      </c>
      <c r="H213" s="21">
        <f>IF(E213&gt;0, F213/E213, 0)</f>
        <v/>
      </c>
      <c r="I213" s="36" t="inlineStr">
        <is>
          <t>Pendiente</t>
        </is>
      </c>
    </row>
    <row r="214" ht="20" customHeight="1">
      <c r="A214" s="16" t="inlineStr">
        <is>
          <t>18/08/2026</t>
        </is>
      </c>
      <c r="B214" s="34" t="n">
        <v>3555</v>
      </c>
      <c r="C214" s="18" t="inlineStr">
        <is>
          <t>NATALIA</t>
        </is>
      </c>
      <c r="D214" s="18" t="inlineStr">
        <is>
          <t>MARRON</t>
        </is>
      </c>
      <c r="E214" s="19" t="n">
        <v>12</v>
      </c>
      <c r="F214" s="19" t="n">
        <v>0</v>
      </c>
      <c r="G214" s="19">
        <f>E214-F214</f>
        <v/>
      </c>
      <c r="H214" s="35">
        <f>IF(E214&gt;0, F214/E214, 0)</f>
        <v/>
      </c>
      <c r="I214" s="36" t="inlineStr">
        <is>
          <t>Pendiente</t>
        </is>
      </c>
    </row>
    <row r="215" ht="20" customHeight="1">
      <c r="A215" s="10" t="inlineStr">
        <is>
          <t>18/08/2026</t>
        </is>
      </c>
      <c r="B215" s="32" t="n">
        <v>3556</v>
      </c>
      <c r="C215" s="12" t="inlineStr">
        <is>
          <t>NATALIA</t>
        </is>
      </c>
      <c r="D215" s="12" t="inlineStr">
        <is>
          <t>MARRON</t>
        </is>
      </c>
      <c r="E215" s="13" t="n">
        <v>12</v>
      </c>
      <c r="F215" s="13" t="n">
        <v>0</v>
      </c>
      <c r="G215" s="13">
        <f>E215-F215</f>
        <v/>
      </c>
      <c r="H215" s="21">
        <f>IF(E215&gt;0, F215/E215, 0)</f>
        <v/>
      </c>
      <c r="I215" s="36" t="inlineStr">
        <is>
          <t>Pendiente</t>
        </is>
      </c>
    </row>
    <row r="216" ht="20" customHeight="1">
      <c r="A216" s="16" t="inlineStr">
        <is>
          <t>18/08/2026</t>
        </is>
      </c>
      <c r="B216" s="34" t="n">
        <v>3557</v>
      </c>
      <c r="C216" s="18" t="inlineStr">
        <is>
          <t>NATALIA</t>
        </is>
      </c>
      <c r="D216" s="18" t="inlineStr">
        <is>
          <t>MARRON</t>
        </is>
      </c>
      <c r="E216" s="19" t="n">
        <v>12</v>
      </c>
      <c r="F216" s="19" t="n">
        <v>0</v>
      </c>
      <c r="G216" s="19">
        <f>E216-F216</f>
        <v/>
      </c>
      <c r="H216" s="35">
        <f>IF(E216&gt;0, F216/E216, 0)</f>
        <v/>
      </c>
      <c r="I216" s="36" t="inlineStr">
        <is>
          <t>Pendiente</t>
        </is>
      </c>
    </row>
    <row r="217" ht="20" customHeight="1">
      <c r="A217" s="10" t="inlineStr">
        <is>
          <t>18/08/2026</t>
        </is>
      </c>
      <c r="B217" s="32" t="n">
        <v>3547</v>
      </c>
      <c r="C217" s="12" t="inlineStr">
        <is>
          <t>NATALIA</t>
        </is>
      </c>
      <c r="D217" s="12" t="inlineStr">
        <is>
          <t>NEGRO</t>
        </is>
      </c>
      <c r="E217" s="13" t="n">
        <v>12</v>
      </c>
      <c r="F217" s="13" t="n">
        <v>0</v>
      </c>
      <c r="G217" s="13">
        <f>E217-F217</f>
        <v/>
      </c>
      <c r="H217" s="21">
        <f>IF(E217&gt;0, F217/E217, 0)</f>
        <v/>
      </c>
      <c r="I217" s="36" t="inlineStr">
        <is>
          <t>Pendiente</t>
        </is>
      </c>
    </row>
    <row r="218" ht="20" customHeight="1">
      <c r="A218" s="16" t="inlineStr">
        <is>
          <t>18/08/2026</t>
        </is>
      </c>
      <c r="B218" s="34" t="n">
        <v>3548</v>
      </c>
      <c r="C218" s="18" t="inlineStr">
        <is>
          <t>NATALIA</t>
        </is>
      </c>
      <c r="D218" s="18" t="inlineStr">
        <is>
          <t>NEGRO</t>
        </is>
      </c>
      <c r="E218" s="19" t="n">
        <v>12</v>
      </c>
      <c r="F218" s="19" t="n">
        <v>0</v>
      </c>
      <c r="G218" s="19">
        <f>E218-F218</f>
        <v/>
      </c>
      <c r="H218" s="35">
        <f>IF(E218&gt;0, F218/E218, 0)</f>
        <v/>
      </c>
      <c r="I218" s="36" t="inlineStr">
        <is>
          <t>Pendiente</t>
        </is>
      </c>
    </row>
    <row r="219" ht="20" customHeight="1">
      <c r="A219" s="10" t="inlineStr">
        <is>
          <t>18/08/2026</t>
        </is>
      </c>
      <c r="B219" s="32" t="n">
        <v>3549</v>
      </c>
      <c r="C219" s="12" t="inlineStr">
        <is>
          <t>NATALIA</t>
        </is>
      </c>
      <c r="D219" s="12" t="inlineStr">
        <is>
          <t>NEGRO</t>
        </is>
      </c>
      <c r="E219" s="13" t="n">
        <v>12</v>
      </c>
      <c r="F219" s="13" t="n">
        <v>0</v>
      </c>
      <c r="G219" s="13">
        <f>E219-F219</f>
        <v/>
      </c>
      <c r="H219" s="21">
        <f>IF(E219&gt;0, F219/E219, 0)</f>
        <v/>
      </c>
      <c r="I219" s="36" t="inlineStr">
        <is>
          <t>Pendiente</t>
        </is>
      </c>
    </row>
    <row r="220" ht="20" customHeight="1">
      <c r="A220" s="16" t="inlineStr">
        <is>
          <t>18/08/2026</t>
        </is>
      </c>
      <c r="B220" s="34" t="n">
        <v>3550</v>
      </c>
      <c r="C220" s="18" t="inlineStr">
        <is>
          <t>NATALIA</t>
        </is>
      </c>
      <c r="D220" s="18" t="inlineStr">
        <is>
          <t>NEGRO</t>
        </is>
      </c>
      <c r="E220" s="19" t="n">
        <v>12</v>
      </c>
      <c r="F220" s="19" t="n">
        <v>0</v>
      </c>
      <c r="G220" s="19">
        <f>E220-F220</f>
        <v/>
      </c>
      <c r="H220" s="35">
        <f>IF(E220&gt;0, F220/E220, 0)</f>
        <v/>
      </c>
      <c r="I220" s="36" t="inlineStr">
        <is>
          <t>Pendiente</t>
        </is>
      </c>
    </row>
    <row r="221" ht="20" customHeight="1">
      <c r="A221" s="10" t="inlineStr">
        <is>
          <t>18/08/2026</t>
        </is>
      </c>
      <c r="B221" s="32" t="n">
        <v>3551</v>
      </c>
      <c r="C221" s="12" t="inlineStr">
        <is>
          <t>NATALIA</t>
        </is>
      </c>
      <c r="D221" s="12" t="inlineStr">
        <is>
          <t>NEGRO</t>
        </is>
      </c>
      <c r="E221" s="13" t="n">
        <v>12</v>
      </c>
      <c r="F221" s="13" t="n">
        <v>0</v>
      </c>
      <c r="G221" s="13">
        <f>E221-F221</f>
        <v/>
      </c>
      <c r="H221" s="21">
        <f>IF(E221&gt;0, F221/E221, 0)</f>
        <v/>
      </c>
      <c r="I221" s="36" t="inlineStr">
        <is>
          <t>Pendiente</t>
        </is>
      </c>
    </row>
    <row r="222" ht="20" customHeight="1">
      <c r="A222" s="16" t="inlineStr">
        <is>
          <t>18/08/2026</t>
        </is>
      </c>
      <c r="B222" s="34" t="n">
        <v>3552</v>
      </c>
      <c r="C222" s="18" t="inlineStr">
        <is>
          <t>NATALIA</t>
        </is>
      </c>
      <c r="D222" s="18" t="inlineStr">
        <is>
          <t>NEGRO</t>
        </is>
      </c>
      <c r="E222" s="19" t="n">
        <v>12</v>
      </c>
      <c r="F222" s="19" t="n">
        <v>0</v>
      </c>
      <c r="G222" s="19">
        <f>E222-F222</f>
        <v/>
      </c>
      <c r="H222" s="35">
        <f>IF(E222&gt;0, F222/E222, 0)</f>
        <v/>
      </c>
      <c r="I222" s="36" t="inlineStr">
        <is>
          <t>Pendiente</t>
        </is>
      </c>
    </row>
    <row r="223" ht="20" customHeight="1">
      <c r="A223" s="10" t="inlineStr">
        <is>
          <t>24/08/2026</t>
        </is>
      </c>
      <c r="B223" s="32" t="n">
        <v>3577</v>
      </c>
      <c r="C223" s="12" t="inlineStr">
        <is>
          <t>MAFER</t>
        </is>
      </c>
      <c r="D223" s="12" t="inlineStr">
        <is>
          <t>MARRON</t>
        </is>
      </c>
      <c r="E223" s="13" t="n">
        <v>12</v>
      </c>
      <c r="F223" s="13" t="n">
        <v>11</v>
      </c>
      <c r="G223" s="13">
        <f>E223-F223</f>
        <v/>
      </c>
      <c r="H223" s="21">
        <f>IF(E223&gt;0, F223/E223, 0)</f>
        <v/>
      </c>
      <c r="I223" s="36" t="inlineStr">
        <is>
          <t>Pendiente</t>
        </is>
      </c>
    </row>
    <row r="224" ht="20" customHeight="1">
      <c r="A224" s="16" t="inlineStr">
        <is>
          <t>24/08/2026</t>
        </is>
      </c>
      <c r="B224" s="34" t="n">
        <v>3578</v>
      </c>
      <c r="C224" s="18" t="inlineStr">
        <is>
          <t>MAFER</t>
        </is>
      </c>
      <c r="D224" s="18" t="inlineStr">
        <is>
          <t>MARRON</t>
        </is>
      </c>
      <c r="E224" s="19" t="n">
        <v>12</v>
      </c>
      <c r="F224" s="19" t="n">
        <v>12</v>
      </c>
      <c r="G224" s="19">
        <f>E224-F224</f>
        <v/>
      </c>
      <c r="H224" s="35">
        <f>IF(E224&gt;0, F224/E224, 0)</f>
        <v/>
      </c>
      <c r="I224" s="33" t="inlineStr">
        <is>
          <t>Completo</t>
        </is>
      </c>
    </row>
    <row r="225" ht="20" customHeight="1">
      <c r="A225" s="10" t="inlineStr">
        <is>
          <t>24/08/2026</t>
        </is>
      </c>
      <c r="B225" s="32" t="n">
        <v>3579</v>
      </c>
      <c r="C225" s="12" t="inlineStr">
        <is>
          <t>MAFER</t>
        </is>
      </c>
      <c r="D225" s="12" t="inlineStr">
        <is>
          <t>MARRON</t>
        </is>
      </c>
      <c r="E225" s="13" t="n">
        <v>12</v>
      </c>
      <c r="F225" s="13" t="n">
        <v>11</v>
      </c>
      <c r="G225" s="13">
        <f>E225-F225</f>
        <v/>
      </c>
      <c r="H225" s="21">
        <f>IF(E225&gt;0, F225/E225, 0)</f>
        <v/>
      </c>
      <c r="I225" s="36" t="inlineStr">
        <is>
          <t>Pendiente</t>
        </is>
      </c>
    </row>
    <row r="226" ht="20" customHeight="1">
      <c r="A226" s="16" t="inlineStr">
        <is>
          <t>24/08/2026</t>
        </is>
      </c>
      <c r="B226" s="34" t="n">
        <v>3580</v>
      </c>
      <c r="C226" s="18" t="inlineStr">
        <is>
          <t>MAFER</t>
        </is>
      </c>
      <c r="D226" s="18" t="inlineStr">
        <is>
          <t>MARRON</t>
        </is>
      </c>
      <c r="E226" s="19" t="n">
        <v>12</v>
      </c>
      <c r="F226" s="19" t="n">
        <v>12</v>
      </c>
      <c r="G226" s="19">
        <f>E226-F226</f>
        <v/>
      </c>
      <c r="H226" s="35">
        <f>IF(E226&gt;0, F226/E226, 0)</f>
        <v/>
      </c>
      <c r="I226" s="33" t="inlineStr">
        <is>
          <t>Completo</t>
        </is>
      </c>
    </row>
    <row r="227" ht="20" customHeight="1">
      <c r="A227" s="10" t="inlineStr">
        <is>
          <t>24/08/2026</t>
        </is>
      </c>
      <c r="B227" s="32" t="n">
        <v>3586</v>
      </c>
      <c r="C227" s="12" t="inlineStr">
        <is>
          <t>REBECA</t>
        </is>
      </c>
      <c r="D227" s="12" t="inlineStr">
        <is>
          <t>VINO</t>
        </is>
      </c>
      <c r="E227" s="13" t="n">
        <v>12</v>
      </c>
      <c r="F227" s="13" t="n">
        <v>12</v>
      </c>
      <c r="G227" s="13">
        <f>E227-F227</f>
        <v/>
      </c>
      <c r="H227" s="21">
        <f>IF(E227&gt;0, F227/E227, 0)</f>
        <v/>
      </c>
      <c r="I227" s="33" t="inlineStr">
        <is>
          <t>Completo</t>
        </is>
      </c>
    </row>
    <row r="228" ht="20" customHeight="1">
      <c r="A228" s="16" t="inlineStr">
        <is>
          <t>24/08/2026</t>
        </is>
      </c>
      <c r="B228" s="34" t="n">
        <v>3587</v>
      </c>
      <c r="C228" s="18" t="inlineStr">
        <is>
          <t>REBECA</t>
        </is>
      </c>
      <c r="D228" s="18" t="inlineStr">
        <is>
          <t>VINO</t>
        </is>
      </c>
      <c r="E228" s="19" t="n">
        <v>12</v>
      </c>
      <c r="F228" s="19" t="n">
        <v>10</v>
      </c>
      <c r="G228" s="19">
        <f>E228-F228</f>
        <v/>
      </c>
      <c r="H228" s="35">
        <f>IF(E228&gt;0, F228/E228, 0)</f>
        <v/>
      </c>
      <c r="I228" s="36" t="inlineStr">
        <is>
          <t>Pendiente</t>
        </is>
      </c>
    </row>
    <row r="229" ht="20" customHeight="1">
      <c r="A229" s="10" t="inlineStr">
        <is>
          <t>24/08/2026</t>
        </is>
      </c>
      <c r="B229" s="32" t="n">
        <v>3588</v>
      </c>
      <c r="C229" s="12" t="inlineStr">
        <is>
          <t>REBECA</t>
        </is>
      </c>
      <c r="D229" s="12" t="inlineStr">
        <is>
          <t>VINO</t>
        </is>
      </c>
      <c r="E229" s="13" t="n">
        <v>12</v>
      </c>
      <c r="F229" s="13" t="n">
        <v>12</v>
      </c>
      <c r="G229" s="13">
        <f>E229-F229</f>
        <v/>
      </c>
      <c r="H229" s="21">
        <f>IF(E229&gt;0, F229/E229, 0)</f>
        <v/>
      </c>
      <c r="I229" s="36" t="inlineStr">
        <is>
          <t>Pendiente</t>
        </is>
      </c>
    </row>
    <row r="230" ht="20" customHeight="1">
      <c r="A230" s="16" t="inlineStr">
        <is>
          <t>24/08/2026</t>
        </is>
      </c>
      <c r="B230" s="34" t="n">
        <v>3589</v>
      </c>
      <c r="C230" s="18" t="inlineStr">
        <is>
          <t>REBECA</t>
        </is>
      </c>
      <c r="D230" s="18" t="inlineStr">
        <is>
          <t>VINO</t>
        </is>
      </c>
      <c r="E230" s="19" t="n">
        <v>12</v>
      </c>
      <c r="F230" s="19" t="n">
        <v>12</v>
      </c>
      <c r="G230" s="19">
        <f>E230-F230</f>
        <v/>
      </c>
      <c r="H230" s="35">
        <f>IF(E230&gt;0, F230/E230, 0)</f>
        <v/>
      </c>
      <c r="I230" s="33" t="inlineStr">
        <is>
          <t>Completo</t>
        </is>
      </c>
    </row>
    <row r="231" ht="20" customHeight="1">
      <c r="A231" s="10" t="inlineStr">
        <is>
          <t>24/08/2026</t>
        </is>
      </c>
      <c r="B231" s="32" t="n">
        <v>3590</v>
      </c>
      <c r="C231" s="12" t="inlineStr">
        <is>
          <t>REBECA</t>
        </is>
      </c>
      <c r="D231" s="12" t="inlineStr">
        <is>
          <t>VINO</t>
        </is>
      </c>
      <c r="E231" s="13" t="n">
        <v>12</v>
      </c>
      <c r="F231" s="13" t="n">
        <v>12</v>
      </c>
      <c r="G231" s="13">
        <f>E231-F231</f>
        <v/>
      </c>
      <c r="H231" s="21">
        <f>IF(E231&gt;0, F231/E231, 0)</f>
        <v/>
      </c>
      <c r="I231" s="33" t="inlineStr">
        <is>
          <t>Completo</t>
        </is>
      </c>
    </row>
    <row r="232" ht="20" customHeight="1">
      <c r="A232" s="16" t="inlineStr">
        <is>
          <t>24/08/2026</t>
        </is>
      </c>
      <c r="B232" s="34" t="n">
        <v>3591</v>
      </c>
      <c r="C232" s="18" t="inlineStr">
        <is>
          <t>ZOE</t>
        </is>
      </c>
      <c r="D232" s="18" t="inlineStr">
        <is>
          <t>BEIGE</t>
        </is>
      </c>
      <c r="E232" s="19" t="n">
        <v>12</v>
      </c>
      <c r="F232" s="19" t="n">
        <v>12</v>
      </c>
      <c r="G232" s="19">
        <f>E232-F232</f>
        <v/>
      </c>
      <c r="H232" s="35">
        <f>IF(E232&gt;0, F232/E232, 0)</f>
        <v/>
      </c>
      <c r="I232" s="33" t="inlineStr">
        <is>
          <t>Completo</t>
        </is>
      </c>
    </row>
    <row r="233" ht="20" customHeight="1">
      <c r="A233" s="10" t="inlineStr">
        <is>
          <t>24/08/2026</t>
        </is>
      </c>
      <c r="B233" s="32" t="n">
        <v>3592</v>
      </c>
      <c r="C233" s="12" t="inlineStr">
        <is>
          <t>ZOE</t>
        </is>
      </c>
      <c r="D233" s="12" t="inlineStr">
        <is>
          <t>BEIGE</t>
        </is>
      </c>
      <c r="E233" s="13" t="n">
        <v>12</v>
      </c>
      <c r="F233" s="13" t="n">
        <v>12</v>
      </c>
      <c r="G233" s="13">
        <f>E233-F233</f>
        <v/>
      </c>
      <c r="H233" s="21">
        <f>IF(E233&gt;0, F233/E233, 0)</f>
        <v/>
      </c>
      <c r="I233" s="33" t="inlineStr">
        <is>
          <t>Completo</t>
        </is>
      </c>
    </row>
    <row r="234" ht="20" customHeight="1">
      <c r="A234" s="16" t="inlineStr">
        <is>
          <t>24/08/2026</t>
        </is>
      </c>
      <c r="B234" s="34" t="n">
        <v>3593</v>
      </c>
      <c r="C234" s="18" t="inlineStr">
        <is>
          <t>ZOE</t>
        </is>
      </c>
      <c r="D234" s="18" t="inlineStr">
        <is>
          <t>BEIGE</t>
        </is>
      </c>
      <c r="E234" s="19" t="n">
        <v>12</v>
      </c>
      <c r="F234" s="19" t="n">
        <v>12</v>
      </c>
      <c r="G234" s="19">
        <f>E234-F234</f>
        <v/>
      </c>
      <c r="H234" s="35">
        <f>IF(E234&gt;0, F234/E234, 0)</f>
        <v/>
      </c>
      <c r="I234" s="33" t="inlineStr">
        <is>
          <t>Completo</t>
        </is>
      </c>
    </row>
    <row r="235" ht="20" customHeight="1">
      <c r="A235" s="10" t="inlineStr">
        <is>
          <t>24/08/2026</t>
        </is>
      </c>
      <c r="B235" s="32" t="n">
        <v>3594</v>
      </c>
      <c r="C235" s="12" t="inlineStr">
        <is>
          <t>ZOE</t>
        </is>
      </c>
      <c r="D235" s="12" t="inlineStr">
        <is>
          <t>BEIGE</t>
        </is>
      </c>
      <c r="E235" s="13" t="n">
        <v>12</v>
      </c>
      <c r="F235" s="13" t="n">
        <v>12</v>
      </c>
      <c r="G235" s="13">
        <f>E235-F235</f>
        <v/>
      </c>
      <c r="H235" s="21">
        <f>IF(E235&gt;0, F235/E235, 0)</f>
        <v/>
      </c>
      <c r="I235" s="33" t="inlineStr">
        <is>
          <t>Completo</t>
        </is>
      </c>
    </row>
    <row r="236" ht="20" customHeight="1">
      <c r="A236" s="16" t="inlineStr">
        <is>
          <t>24/08/2026</t>
        </is>
      </c>
      <c r="B236" s="34" t="n">
        <v>3595</v>
      </c>
      <c r="C236" s="18" t="inlineStr">
        <is>
          <t>ZOE</t>
        </is>
      </c>
      <c r="D236" s="18" t="inlineStr">
        <is>
          <t>BEIGE</t>
        </is>
      </c>
      <c r="E236" s="19" t="n">
        <v>12</v>
      </c>
      <c r="F236" s="19" t="n">
        <v>12</v>
      </c>
      <c r="G236" s="19">
        <f>E236-F236</f>
        <v/>
      </c>
      <c r="H236" s="35">
        <f>IF(E236&gt;0, F236/E236, 0)</f>
        <v/>
      </c>
      <c r="I236" s="33" t="inlineStr">
        <is>
          <t>Completo</t>
        </is>
      </c>
    </row>
    <row r="237" ht="20" customHeight="1">
      <c r="A237" s="10" t="inlineStr">
        <is>
          <t>24/08/2026</t>
        </is>
      </c>
      <c r="B237" s="32" t="n">
        <v>3596</v>
      </c>
      <c r="C237" s="12" t="inlineStr">
        <is>
          <t>ZOE</t>
        </is>
      </c>
      <c r="D237" s="12" t="inlineStr">
        <is>
          <t>CHERRY</t>
        </is>
      </c>
      <c r="E237" s="13" t="n">
        <v>11</v>
      </c>
      <c r="F237" s="13" t="n">
        <v>11</v>
      </c>
      <c r="G237" s="13">
        <f>E237-F237</f>
        <v/>
      </c>
      <c r="H237" s="21">
        <f>IF(E237&gt;0, F237/E237, 0)</f>
        <v/>
      </c>
      <c r="I237" s="33" t="inlineStr">
        <is>
          <t>Completo</t>
        </is>
      </c>
    </row>
    <row r="238" ht="20" customHeight="1">
      <c r="A238" s="16" t="inlineStr">
        <is>
          <t>02/09/2026</t>
        </is>
      </c>
      <c r="B238" s="34" t="n">
        <v>3605</v>
      </c>
      <c r="C238" s="18" t="inlineStr">
        <is>
          <t>FABIANA</t>
        </is>
      </c>
      <c r="D238" s="18" t="inlineStr">
        <is>
          <t>BEIGE</t>
        </is>
      </c>
      <c r="E238" s="19" t="n">
        <v>12</v>
      </c>
      <c r="F238" s="19" t="n">
        <v>8</v>
      </c>
      <c r="G238" s="19">
        <f>E238-F238</f>
        <v/>
      </c>
      <c r="H238" s="35">
        <f>IF(E238&gt;0, F238/E238, 0)</f>
        <v/>
      </c>
      <c r="I238" s="36" t="inlineStr">
        <is>
          <t>Pendiente</t>
        </is>
      </c>
    </row>
    <row r="239" ht="20" customHeight="1">
      <c r="A239" s="10" t="inlineStr">
        <is>
          <t>02/09/2026</t>
        </is>
      </c>
      <c r="B239" s="32" t="n">
        <v>3606</v>
      </c>
      <c r="C239" s="12" t="inlineStr">
        <is>
          <t>FABIANA</t>
        </is>
      </c>
      <c r="D239" s="12" t="inlineStr">
        <is>
          <t>BEIGE</t>
        </is>
      </c>
      <c r="E239" s="13" t="n">
        <v>12</v>
      </c>
      <c r="F239" s="13" t="n">
        <v>11</v>
      </c>
      <c r="G239" s="13">
        <f>E239-F239</f>
        <v/>
      </c>
      <c r="H239" s="21">
        <f>IF(E239&gt;0, F239/E239, 0)</f>
        <v/>
      </c>
      <c r="I239" s="36" t="inlineStr">
        <is>
          <t>Pendiente</t>
        </is>
      </c>
    </row>
    <row r="240" ht="20" customHeight="1">
      <c r="A240" s="16" t="inlineStr">
        <is>
          <t>02/09/2026</t>
        </is>
      </c>
      <c r="B240" s="34" t="n">
        <v>3607</v>
      </c>
      <c r="C240" s="18" t="inlineStr">
        <is>
          <t>FABIANA</t>
        </is>
      </c>
      <c r="D240" s="18" t="inlineStr">
        <is>
          <t>BEIGE</t>
        </is>
      </c>
      <c r="E240" s="19" t="n">
        <v>12</v>
      </c>
      <c r="F240" s="19" t="n">
        <v>12</v>
      </c>
      <c r="G240" s="19">
        <f>E240-F240</f>
        <v/>
      </c>
      <c r="H240" s="35">
        <f>IF(E240&gt;0, F240/E240, 0)</f>
        <v/>
      </c>
      <c r="I240" s="33" t="inlineStr">
        <is>
          <t>Completo</t>
        </is>
      </c>
    </row>
    <row r="241" ht="20" customHeight="1">
      <c r="A241" s="10" t="inlineStr">
        <is>
          <t>02/09/2026</t>
        </is>
      </c>
      <c r="B241" s="32" t="n">
        <v>3608</v>
      </c>
      <c r="C241" s="12" t="inlineStr">
        <is>
          <t>FABIANA</t>
        </is>
      </c>
      <c r="D241" s="12" t="inlineStr">
        <is>
          <t>BEIGE</t>
        </is>
      </c>
      <c r="E241" s="13" t="n">
        <v>12</v>
      </c>
      <c r="F241" s="13" t="n">
        <v>8</v>
      </c>
      <c r="G241" s="13">
        <f>E241-F241</f>
        <v/>
      </c>
      <c r="H241" s="21">
        <f>IF(E241&gt;0, F241/E241, 0)</f>
        <v/>
      </c>
      <c r="I241" s="36" t="inlineStr">
        <is>
          <t>Pendiente</t>
        </is>
      </c>
    </row>
    <row r="242" ht="20" customHeight="1">
      <c r="A242" s="16" t="inlineStr">
        <is>
          <t>02/09/2026</t>
        </is>
      </c>
      <c r="B242" s="34" t="n">
        <v>3609</v>
      </c>
      <c r="C242" s="18" t="inlineStr">
        <is>
          <t>FABIANA</t>
        </is>
      </c>
      <c r="D242" s="18" t="inlineStr">
        <is>
          <t>MORO</t>
        </is>
      </c>
      <c r="E242" s="19" t="n">
        <v>12</v>
      </c>
      <c r="F242" s="19" t="n">
        <v>10</v>
      </c>
      <c r="G242" s="19">
        <f>E242-F242</f>
        <v/>
      </c>
      <c r="H242" s="35">
        <f>IF(E242&gt;0, F242/E242, 0)</f>
        <v/>
      </c>
      <c r="I242" s="36" t="inlineStr">
        <is>
          <t>Pendiente</t>
        </is>
      </c>
    </row>
    <row r="243" ht="20" customHeight="1">
      <c r="A243" s="10" t="inlineStr">
        <is>
          <t>02/09/2026</t>
        </is>
      </c>
      <c r="B243" s="32" t="n">
        <v>3610</v>
      </c>
      <c r="C243" s="12" t="inlineStr">
        <is>
          <t>FABIANA</t>
        </is>
      </c>
      <c r="D243" s="12" t="inlineStr">
        <is>
          <t>MORO</t>
        </is>
      </c>
      <c r="E243" s="13" t="n">
        <v>12</v>
      </c>
      <c r="F243" s="13" t="n">
        <v>11</v>
      </c>
      <c r="G243" s="13">
        <f>E243-F243</f>
        <v/>
      </c>
      <c r="H243" s="21">
        <f>IF(E243&gt;0, F243/E243, 0)</f>
        <v/>
      </c>
      <c r="I243" s="36" t="inlineStr">
        <is>
          <t>Pendiente</t>
        </is>
      </c>
    </row>
    <row r="244" ht="20" customHeight="1">
      <c r="A244" s="16" t="inlineStr">
        <is>
          <t>02/09/2026</t>
        </is>
      </c>
      <c r="B244" s="34" t="n">
        <v>3611</v>
      </c>
      <c r="C244" s="18" t="inlineStr">
        <is>
          <t>FABIANA</t>
        </is>
      </c>
      <c r="D244" s="18" t="inlineStr">
        <is>
          <t>MORO</t>
        </is>
      </c>
      <c r="E244" s="19" t="n">
        <v>12</v>
      </c>
      <c r="F244" s="19" t="n">
        <v>12</v>
      </c>
      <c r="G244" s="19">
        <f>E244-F244</f>
        <v/>
      </c>
      <c r="H244" s="35">
        <f>IF(E244&gt;0, F244/E244, 0)</f>
        <v/>
      </c>
      <c r="I244" s="33" t="inlineStr">
        <is>
          <t>Completo</t>
        </is>
      </c>
    </row>
    <row r="245" ht="20" customHeight="1">
      <c r="A245" s="10" t="inlineStr">
        <is>
          <t>02/09/2026</t>
        </is>
      </c>
      <c r="B245" s="32" t="n">
        <v>3612</v>
      </c>
      <c r="C245" s="12" t="inlineStr">
        <is>
          <t>FABIANA</t>
        </is>
      </c>
      <c r="D245" s="12" t="inlineStr">
        <is>
          <t>MORO</t>
        </is>
      </c>
      <c r="E245" s="13" t="n">
        <v>12</v>
      </c>
      <c r="F245" s="13" t="n">
        <v>12</v>
      </c>
      <c r="G245" s="13">
        <f>E245-F245</f>
        <v/>
      </c>
      <c r="H245" s="21">
        <f>IF(E245&gt;0, F245/E245, 0)</f>
        <v/>
      </c>
      <c r="I245" s="33" t="inlineStr">
        <is>
          <t>Completo</t>
        </is>
      </c>
    </row>
    <row r="246" ht="20" customHeight="1">
      <c r="A246" s="16" t="inlineStr">
        <is>
          <t>02/09/2026</t>
        </is>
      </c>
      <c r="B246" s="34" t="n">
        <v>3613</v>
      </c>
      <c r="C246" s="18" t="inlineStr">
        <is>
          <t>FABIANA</t>
        </is>
      </c>
      <c r="D246" s="18" t="inlineStr">
        <is>
          <t>MORO</t>
        </is>
      </c>
      <c r="E246" s="19" t="n">
        <v>12</v>
      </c>
      <c r="F246" s="19" t="n">
        <v>12</v>
      </c>
      <c r="G246" s="19">
        <f>E246-F246</f>
        <v/>
      </c>
      <c r="H246" s="35">
        <f>IF(E246&gt;0, F246/E246, 0)</f>
        <v/>
      </c>
      <c r="I246" s="33" t="inlineStr">
        <is>
          <t>Completo</t>
        </is>
      </c>
    </row>
    <row r="247" ht="20" customHeight="1">
      <c r="A247" s="10" t="inlineStr">
        <is>
          <t>02/09/2026</t>
        </is>
      </c>
      <c r="B247" s="32" t="n">
        <v>3601</v>
      </c>
      <c r="C247" s="12" t="inlineStr">
        <is>
          <t>FABIANA</t>
        </is>
      </c>
      <c r="D247" s="12" t="inlineStr">
        <is>
          <t>VINO</t>
        </is>
      </c>
      <c r="E247" s="13" t="n">
        <v>12</v>
      </c>
      <c r="F247" s="13" t="n">
        <v>12</v>
      </c>
      <c r="G247" s="13">
        <f>E247-F247</f>
        <v/>
      </c>
      <c r="H247" s="21">
        <f>IF(E247&gt;0, F247/E247, 0)</f>
        <v/>
      </c>
      <c r="I247" s="33" t="inlineStr">
        <is>
          <t>Completo</t>
        </is>
      </c>
    </row>
    <row r="248" ht="20" customHeight="1">
      <c r="A248" s="16" t="inlineStr">
        <is>
          <t>02/09/2026</t>
        </is>
      </c>
      <c r="B248" s="34" t="n">
        <v>3602</v>
      </c>
      <c r="C248" s="18" t="inlineStr">
        <is>
          <t>FABIANA</t>
        </is>
      </c>
      <c r="D248" s="18" t="inlineStr">
        <is>
          <t>VINO</t>
        </is>
      </c>
      <c r="E248" s="19" t="n">
        <v>12</v>
      </c>
      <c r="F248" s="19" t="n">
        <v>12</v>
      </c>
      <c r="G248" s="19">
        <f>E248-F248</f>
        <v/>
      </c>
      <c r="H248" s="35">
        <f>IF(E248&gt;0, F248/E248, 0)</f>
        <v/>
      </c>
      <c r="I248" s="33" t="inlineStr">
        <is>
          <t>Completo</t>
        </is>
      </c>
    </row>
    <row r="249" ht="20" customHeight="1">
      <c r="A249" s="10" t="inlineStr">
        <is>
          <t>02/09/2026</t>
        </is>
      </c>
      <c r="B249" s="32" t="n">
        <v>3603</v>
      </c>
      <c r="C249" s="12" t="inlineStr">
        <is>
          <t>FABIANA</t>
        </is>
      </c>
      <c r="D249" s="12" t="inlineStr">
        <is>
          <t>VINO</t>
        </is>
      </c>
      <c r="E249" s="13" t="n">
        <v>12</v>
      </c>
      <c r="F249" s="13" t="n">
        <v>12</v>
      </c>
      <c r="G249" s="13">
        <f>E249-F249</f>
        <v/>
      </c>
      <c r="H249" s="21">
        <f>IF(E249&gt;0, F249/E249, 0)</f>
        <v/>
      </c>
      <c r="I249" s="33" t="inlineStr">
        <is>
          <t>Completo</t>
        </is>
      </c>
    </row>
    <row r="250" ht="20" customHeight="1">
      <c r="A250" s="16" t="inlineStr">
        <is>
          <t>02/09/2026</t>
        </is>
      </c>
      <c r="B250" s="34" t="n">
        <v>3604</v>
      </c>
      <c r="C250" s="18" t="inlineStr">
        <is>
          <t>FABIANA</t>
        </is>
      </c>
      <c r="D250" s="18" t="inlineStr">
        <is>
          <t>VINO</t>
        </is>
      </c>
      <c r="E250" s="19" t="n">
        <v>12</v>
      </c>
      <c r="F250" s="19" t="n">
        <v>10</v>
      </c>
      <c r="G250" s="19">
        <f>E250-F250</f>
        <v/>
      </c>
      <c r="H250" s="35">
        <f>IF(E250&gt;0, F250/E250, 0)</f>
        <v/>
      </c>
      <c r="I250" s="36" t="inlineStr">
        <is>
          <t>Pendiente</t>
        </is>
      </c>
    </row>
    <row r="251" ht="20" customHeight="1">
      <c r="A251" s="10" t="inlineStr">
        <is>
          <t>02/09/2026</t>
        </is>
      </c>
      <c r="B251" s="32" t="n">
        <v>3597</v>
      </c>
      <c r="C251" s="12" t="inlineStr">
        <is>
          <t>MAFER</t>
        </is>
      </c>
      <c r="D251" s="12" t="inlineStr">
        <is>
          <t>CAMEL</t>
        </is>
      </c>
      <c r="E251" s="13" t="n">
        <v>12</v>
      </c>
      <c r="F251" s="13" t="n">
        <v>10</v>
      </c>
      <c r="G251" s="13">
        <f>E251-F251</f>
        <v/>
      </c>
      <c r="H251" s="21">
        <f>IF(E251&gt;0, F251/E251, 0)</f>
        <v/>
      </c>
      <c r="I251" s="36" t="inlineStr">
        <is>
          <t>Pendiente</t>
        </is>
      </c>
    </row>
    <row r="252" ht="20" customHeight="1">
      <c r="A252" s="16" t="inlineStr">
        <is>
          <t>02/09/2026</t>
        </is>
      </c>
      <c r="B252" s="34" t="n">
        <v>3598</v>
      </c>
      <c r="C252" s="18" t="inlineStr">
        <is>
          <t>MAFER</t>
        </is>
      </c>
      <c r="D252" s="18" t="inlineStr">
        <is>
          <t>CAMEL</t>
        </is>
      </c>
      <c r="E252" s="19" t="n">
        <v>12</v>
      </c>
      <c r="F252" s="19" t="n">
        <v>12</v>
      </c>
      <c r="G252" s="19">
        <f>E252-F252</f>
        <v/>
      </c>
      <c r="H252" s="35">
        <f>IF(E252&gt;0, F252/E252, 0)</f>
        <v/>
      </c>
      <c r="I252" s="33" t="inlineStr">
        <is>
          <t>Completo</t>
        </is>
      </c>
    </row>
    <row r="253" ht="20" customHeight="1">
      <c r="A253" s="10" t="inlineStr">
        <is>
          <t>02/09/2026</t>
        </is>
      </c>
      <c r="B253" s="32" t="n">
        <v>3599</v>
      </c>
      <c r="C253" s="12" t="inlineStr">
        <is>
          <t>MAFER</t>
        </is>
      </c>
      <c r="D253" s="12" t="inlineStr">
        <is>
          <t>CAMEL</t>
        </is>
      </c>
      <c r="E253" s="13" t="n">
        <v>12</v>
      </c>
      <c r="F253" s="13" t="n">
        <v>12</v>
      </c>
      <c r="G253" s="13">
        <f>E253-F253</f>
        <v/>
      </c>
      <c r="H253" s="21">
        <f>IF(E253&gt;0, F253/E253, 0)</f>
        <v/>
      </c>
      <c r="I253" s="33" t="inlineStr">
        <is>
          <t>Completo</t>
        </is>
      </c>
    </row>
    <row r="254" ht="20" customHeight="1">
      <c r="A254" s="16" t="inlineStr">
        <is>
          <t>02/09/2026</t>
        </is>
      </c>
      <c r="B254" s="34" t="n">
        <v>3600</v>
      </c>
      <c r="C254" s="18" t="inlineStr">
        <is>
          <t>MAFER</t>
        </is>
      </c>
      <c r="D254" s="18" t="inlineStr">
        <is>
          <t>CAMEL</t>
        </is>
      </c>
      <c r="E254" s="19" t="n">
        <v>12</v>
      </c>
      <c r="F254" s="19" t="n">
        <v>12</v>
      </c>
      <c r="G254" s="19">
        <f>E254-F254</f>
        <v/>
      </c>
      <c r="H254" s="35">
        <f>IF(E254&gt;0, F254/E254, 0)</f>
        <v/>
      </c>
      <c r="I254" s="33" t="inlineStr">
        <is>
          <t>Completo</t>
        </is>
      </c>
    </row>
    <row r="255" ht="20" customHeight="1">
      <c r="A255" s="10" t="inlineStr">
        <is>
          <t>02/09/2026</t>
        </is>
      </c>
      <c r="B255" s="32" t="n">
        <v>3614</v>
      </c>
      <c r="C255" s="12" t="inlineStr">
        <is>
          <t>MICAELA</t>
        </is>
      </c>
      <c r="D255" s="12" t="inlineStr">
        <is>
          <t>BEIGE</t>
        </is>
      </c>
      <c r="E255" s="13" t="n">
        <v>12</v>
      </c>
      <c r="F255" s="13" t="n">
        <v>12</v>
      </c>
      <c r="G255" s="13">
        <f>E255-F255</f>
        <v/>
      </c>
      <c r="H255" s="21">
        <f>IF(E255&gt;0, F255/E255, 0)</f>
        <v/>
      </c>
      <c r="I255" s="33" t="inlineStr">
        <is>
          <t>Completo</t>
        </is>
      </c>
    </row>
    <row r="256" ht="20" customHeight="1">
      <c r="A256" s="16" t="inlineStr">
        <is>
          <t>02/09/2026</t>
        </is>
      </c>
      <c r="B256" s="34" t="n">
        <v>3615</v>
      </c>
      <c r="C256" s="18" t="inlineStr">
        <is>
          <t>MICAELA</t>
        </is>
      </c>
      <c r="D256" s="18" t="inlineStr">
        <is>
          <t>BEIGE</t>
        </is>
      </c>
      <c r="E256" s="19" t="n">
        <v>12</v>
      </c>
      <c r="F256" s="19" t="n">
        <v>12</v>
      </c>
      <c r="G256" s="19">
        <f>E256-F256</f>
        <v/>
      </c>
      <c r="H256" s="35">
        <f>IF(E256&gt;0, F256/E256, 0)</f>
        <v/>
      </c>
      <c r="I256" s="33" t="inlineStr">
        <is>
          <t>Completo</t>
        </is>
      </c>
    </row>
    <row r="257" ht="20" customHeight="1">
      <c r="A257" s="10" t="inlineStr">
        <is>
          <t>02/09/2026</t>
        </is>
      </c>
      <c r="B257" s="32" t="n">
        <v>3616</v>
      </c>
      <c r="C257" s="12" t="inlineStr">
        <is>
          <t>MICAELA</t>
        </is>
      </c>
      <c r="D257" s="12" t="inlineStr">
        <is>
          <t>BEIGE</t>
        </is>
      </c>
      <c r="E257" s="13" t="n">
        <v>12</v>
      </c>
      <c r="F257" s="13" t="n">
        <v>6</v>
      </c>
      <c r="G257" s="13">
        <f>E257-F257</f>
        <v/>
      </c>
      <c r="H257" s="21">
        <f>IF(E257&gt;0, F257/E257, 0)</f>
        <v/>
      </c>
      <c r="I257" s="36" t="inlineStr">
        <is>
          <t>Pendiente</t>
        </is>
      </c>
    </row>
    <row r="258" ht="20" customHeight="1">
      <c r="A258" s="16" t="inlineStr">
        <is>
          <t>02/09/2026</t>
        </is>
      </c>
      <c r="B258" s="34" t="n">
        <v>3617</v>
      </c>
      <c r="C258" s="18" t="inlineStr">
        <is>
          <t>MICAELA</t>
        </is>
      </c>
      <c r="D258" s="18" t="inlineStr">
        <is>
          <t>BEIGE</t>
        </is>
      </c>
      <c r="E258" s="19" t="n">
        <v>12</v>
      </c>
      <c r="F258" s="19" t="n">
        <v>10</v>
      </c>
      <c r="G258" s="19">
        <f>E258-F258</f>
        <v/>
      </c>
      <c r="H258" s="35">
        <f>IF(E258&gt;0, F258/E258, 0)</f>
        <v/>
      </c>
      <c r="I258" s="36" t="inlineStr">
        <is>
          <t>Pendiente</t>
        </is>
      </c>
    </row>
    <row r="259" ht="20" customHeight="1">
      <c r="A259" s="10" t="inlineStr">
        <is>
          <t>02/09/2026</t>
        </is>
      </c>
      <c r="B259" s="32" t="n">
        <v>3618</v>
      </c>
      <c r="C259" s="12" t="inlineStr">
        <is>
          <t>MICAELA</t>
        </is>
      </c>
      <c r="D259" s="12" t="inlineStr">
        <is>
          <t>BEIGE</t>
        </is>
      </c>
      <c r="E259" s="13" t="n">
        <v>12</v>
      </c>
      <c r="F259" s="13" t="n">
        <v>7</v>
      </c>
      <c r="G259" s="13">
        <f>E259-F259</f>
        <v/>
      </c>
      <c r="H259" s="21">
        <f>IF(E259&gt;0, F259/E259, 0)</f>
        <v/>
      </c>
      <c r="I259" s="36" t="inlineStr">
        <is>
          <t>Pendiente</t>
        </is>
      </c>
    </row>
    <row r="260" ht="20" customHeight="1">
      <c r="A260" s="16" t="inlineStr">
        <is>
          <t>02/09/2026</t>
        </is>
      </c>
      <c r="B260" s="34" t="n">
        <v>3619</v>
      </c>
      <c r="C260" s="18" t="inlineStr">
        <is>
          <t>MICAELA</t>
        </is>
      </c>
      <c r="D260" s="18" t="inlineStr">
        <is>
          <t>BEIGE</t>
        </is>
      </c>
      <c r="E260" s="19" t="n">
        <v>12</v>
      </c>
      <c r="F260" s="19" t="n">
        <v>5</v>
      </c>
      <c r="G260" s="19">
        <f>E260-F260</f>
        <v/>
      </c>
      <c r="H260" s="35">
        <f>IF(E260&gt;0, F260/E260, 0)</f>
        <v/>
      </c>
      <c r="I260" s="36" t="inlineStr">
        <is>
          <t>Pendiente</t>
        </is>
      </c>
    </row>
    <row r="261" ht="20" customHeight="1">
      <c r="A261" s="10" t="inlineStr">
        <is>
          <t>02/09/2026</t>
        </is>
      </c>
      <c r="B261" s="32" t="n">
        <v>3620</v>
      </c>
      <c r="C261" s="12" t="inlineStr">
        <is>
          <t>MICAELA</t>
        </is>
      </c>
      <c r="D261" s="12" t="inlineStr">
        <is>
          <t>TOFFE</t>
        </is>
      </c>
      <c r="E261" s="13" t="n">
        <v>12</v>
      </c>
      <c r="F261" s="13" t="n">
        <v>12</v>
      </c>
      <c r="G261" s="13">
        <f>E261-F261</f>
        <v/>
      </c>
      <c r="H261" s="21">
        <f>IF(E261&gt;0, F261/E261, 0)</f>
        <v/>
      </c>
      <c r="I261" s="33" t="inlineStr">
        <is>
          <t>Completo</t>
        </is>
      </c>
    </row>
    <row r="262" ht="20" customHeight="1">
      <c r="A262" s="16" t="inlineStr">
        <is>
          <t>02/09/2026</t>
        </is>
      </c>
      <c r="B262" s="34" t="n">
        <v>3621</v>
      </c>
      <c r="C262" s="18" t="inlineStr">
        <is>
          <t>MICAELA</t>
        </is>
      </c>
      <c r="D262" s="18" t="inlineStr">
        <is>
          <t>TOFFE</t>
        </is>
      </c>
      <c r="E262" s="19" t="n">
        <v>12</v>
      </c>
      <c r="F262" s="19" t="n">
        <v>10</v>
      </c>
      <c r="G262" s="19">
        <f>E262-F262</f>
        <v/>
      </c>
      <c r="H262" s="35">
        <f>IF(E262&gt;0, F262/E262, 0)</f>
        <v/>
      </c>
      <c r="I262" s="36" t="inlineStr">
        <is>
          <t>Pendiente</t>
        </is>
      </c>
    </row>
    <row r="263" ht="20" customHeight="1">
      <c r="A263" s="10" t="inlineStr">
        <is>
          <t>02/09/2026</t>
        </is>
      </c>
      <c r="B263" s="32" t="n">
        <v>3622</v>
      </c>
      <c r="C263" s="12" t="inlineStr">
        <is>
          <t>MICAELA</t>
        </is>
      </c>
      <c r="D263" s="12" t="inlineStr">
        <is>
          <t>TOFFE</t>
        </is>
      </c>
      <c r="E263" s="13" t="n">
        <v>12</v>
      </c>
      <c r="F263" s="13" t="n">
        <v>9</v>
      </c>
      <c r="G263" s="13">
        <f>E263-F263</f>
        <v/>
      </c>
      <c r="H263" s="21">
        <f>IF(E263&gt;0, F263/E263, 0)</f>
        <v/>
      </c>
      <c r="I263" s="36" t="inlineStr">
        <is>
          <t>Pendiente</t>
        </is>
      </c>
    </row>
    <row r="264" ht="20" customHeight="1">
      <c r="A264" s="16" t="inlineStr">
        <is>
          <t>02/09/2026</t>
        </is>
      </c>
      <c r="B264" s="34" t="n">
        <v>3623</v>
      </c>
      <c r="C264" s="18" t="inlineStr">
        <is>
          <t>MICAELA</t>
        </is>
      </c>
      <c r="D264" s="18" t="inlineStr">
        <is>
          <t>TOFFE</t>
        </is>
      </c>
      <c r="E264" s="19" t="n">
        <v>12</v>
      </c>
      <c r="F264" s="19" t="n">
        <v>12</v>
      </c>
      <c r="G264" s="19">
        <f>E264-F264</f>
        <v/>
      </c>
      <c r="H264" s="35">
        <f>IF(E264&gt;0, F264/E264, 0)</f>
        <v/>
      </c>
      <c r="I264" s="33" t="inlineStr">
        <is>
          <t>Completo</t>
        </is>
      </c>
    </row>
    <row r="265" ht="20" customHeight="1">
      <c r="A265" s="10" t="inlineStr">
        <is>
          <t>02/09/2026</t>
        </is>
      </c>
      <c r="B265" s="32" t="n">
        <v>3624</v>
      </c>
      <c r="C265" s="12" t="inlineStr">
        <is>
          <t>MICAELA</t>
        </is>
      </c>
      <c r="D265" s="12" t="inlineStr">
        <is>
          <t>TOFFE</t>
        </is>
      </c>
      <c r="E265" s="13" t="n">
        <v>12</v>
      </c>
      <c r="F265" s="13" t="n">
        <v>9</v>
      </c>
      <c r="G265" s="13">
        <f>E265-F265</f>
        <v/>
      </c>
      <c r="H265" s="21">
        <f>IF(E265&gt;0, F265/E265, 0)</f>
        <v/>
      </c>
      <c r="I265" s="36" t="inlineStr">
        <is>
          <t>Pendiente</t>
        </is>
      </c>
    </row>
    <row r="266" ht="20" customHeight="1">
      <c r="A266" s="16" t="inlineStr">
        <is>
          <t>02/09/2026</t>
        </is>
      </c>
      <c r="B266" s="34" t="n">
        <v>3625</v>
      </c>
      <c r="C266" s="18" t="inlineStr">
        <is>
          <t>MICAELA</t>
        </is>
      </c>
      <c r="D266" s="18" t="inlineStr">
        <is>
          <t>VERDE MENTA</t>
        </is>
      </c>
      <c r="E266" s="19" t="n">
        <v>12</v>
      </c>
      <c r="F266" s="19" t="n">
        <v>12</v>
      </c>
      <c r="G266" s="19">
        <f>E266-F266</f>
        <v/>
      </c>
      <c r="H266" s="35">
        <f>IF(E266&gt;0, F266/E266, 0)</f>
        <v/>
      </c>
      <c r="I266" s="33" t="inlineStr">
        <is>
          <t>Completo</t>
        </is>
      </c>
    </row>
    <row r="267" ht="20" customHeight="1">
      <c r="A267" s="10" t="inlineStr">
        <is>
          <t>02/09/2026</t>
        </is>
      </c>
      <c r="B267" s="32" t="n">
        <v>3626</v>
      </c>
      <c r="C267" s="12" t="inlineStr">
        <is>
          <t>MICAELA</t>
        </is>
      </c>
      <c r="D267" s="12" t="inlineStr">
        <is>
          <t>VERDE MENTA</t>
        </is>
      </c>
      <c r="E267" s="13" t="n">
        <v>12</v>
      </c>
      <c r="F267" s="13" t="n">
        <v>8</v>
      </c>
      <c r="G267" s="13">
        <f>E267-F267</f>
        <v/>
      </c>
      <c r="H267" s="21">
        <f>IF(E267&gt;0, F267/E267, 0)</f>
        <v/>
      </c>
      <c r="I267" s="36" t="inlineStr">
        <is>
          <t>Pendiente</t>
        </is>
      </c>
    </row>
    <row r="268" ht="20" customHeight="1">
      <c r="A268" s="16" t="inlineStr">
        <is>
          <t>02/09/2026</t>
        </is>
      </c>
      <c r="B268" s="34" t="n">
        <v>3627</v>
      </c>
      <c r="C268" s="18" t="inlineStr">
        <is>
          <t>MICAELA</t>
        </is>
      </c>
      <c r="D268" s="18" t="inlineStr">
        <is>
          <t>VERDE MENTA</t>
        </is>
      </c>
      <c r="E268" s="19" t="n">
        <v>12</v>
      </c>
      <c r="F268" s="19" t="n">
        <v>9</v>
      </c>
      <c r="G268" s="19">
        <f>E268-F268</f>
        <v/>
      </c>
      <c r="H268" s="35">
        <f>IF(E268&gt;0, F268/E268, 0)</f>
        <v/>
      </c>
      <c r="I268" s="36" t="inlineStr">
        <is>
          <t>Pendiente</t>
        </is>
      </c>
    </row>
    <row r="269" ht="20" customHeight="1">
      <c r="A269" s="10" t="inlineStr">
        <is>
          <t>02/09/2026</t>
        </is>
      </c>
      <c r="B269" s="32" t="n">
        <v>3628</v>
      </c>
      <c r="C269" s="12" t="inlineStr">
        <is>
          <t>MICAELA</t>
        </is>
      </c>
      <c r="D269" s="12" t="inlineStr">
        <is>
          <t>VERDE MENTA</t>
        </is>
      </c>
      <c r="E269" s="13" t="n">
        <v>12</v>
      </c>
      <c r="F269" s="13" t="n">
        <v>12</v>
      </c>
      <c r="G269" s="13">
        <f>E269-F269</f>
        <v/>
      </c>
      <c r="H269" s="21">
        <f>IF(E269&gt;0, F269/E269, 0)</f>
        <v/>
      </c>
      <c r="I269" s="33" t="inlineStr">
        <is>
          <t>Completo</t>
        </is>
      </c>
    </row>
    <row r="270" ht="20" customHeight="1">
      <c r="A270" s="16" t="inlineStr">
        <is>
          <t>11/09/2026</t>
        </is>
      </c>
      <c r="B270" s="34" t="n">
        <v>3649</v>
      </c>
      <c r="C270" s="18" t="inlineStr">
        <is>
          <t>CARLOTA</t>
        </is>
      </c>
      <c r="D270" s="18" t="inlineStr">
        <is>
          <t>BAMBI</t>
        </is>
      </c>
      <c r="E270" s="19" t="n">
        <v>12</v>
      </c>
      <c r="F270" s="19" t="n">
        <v>11</v>
      </c>
      <c r="G270" s="19">
        <f>E270-F270</f>
        <v/>
      </c>
      <c r="H270" s="35">
        <f>IF(E270&gt;0, F270/E270, 0)</f>
        <v/>
      </c>
      <c r="I270" s="36" t="inlineStr">
        <is>
          <t>Pendiente</t>
        </is>
      </c>
    </row>
    <row r="271" ht="20" customHeight="1">
      <c r="A271" s="10" t="inlineStr">
        <is>
          <t>11/09/2026</t>
        </is>
      </c>
      <c r="B271" s="32" t="n">
        <v>3650</v>
      </c>
      <c r="C271" s="12" t="inlineStr">
        <is>
          <t>CARLOTA</t>
        </is>
      </c>
      <c r="D271" s="12" t="inlineStr">
        <is>
          <t>BAMBI</t>
        </is>
      </c>
      <c r="E271" s="13" t="n">
        <v>12</v>
      </c>
      <c r="F271" s="13" t="n">
        <v>0</v>
      </c>
      <c r="G271" s="13">
        <f>E271-F271</f>
        <v/>
      </c>
      <c r="H271" s="21">
        <f>IF(E271&gt;0, F271/E271, 0)</f>
        <v/>
      </c>
      <c r="I271" s="36" t="inlineStr">
        <is>
          <t>Pendiente</t>
        </is>
      </c>
    </row>
    <row r="272" ht="20" customHeight="1">
      <c r="A272" s="16" t="inlineStr">
        <is>
          <t>11/09/2026</t>
        </is>
      </c>
      <c r="B272" s="34" t="n">
        <v>3651</v>
      </c>
      <c r="C272" s="18" t="inlineStr">
        <is>
          <t>CARLOTA</t>
        </is>
      </c>
      <c r="D272" s="18" t="inlineStr">
        <is>
          <t>BAMBI</t>
        </is>
      </c>
      <c r="E272" s="19" t="n">
        <v>12</v>
      </c>
      <c r="F272" s="19" t="n">
        <v>10</v>
      </c>
      <c r="G272" s="19">
        <f>E272-F272</f>
        <v/>
      </c>
      <c r="H272" s="35">
        <f>IF(E272&gt;0, F272/E272, 0)</f>
        <v/>
      </c>
      <c r="I272" s="36" t="inlineStr">
        <is>
          <t>Pendiente</t>
        </is>
      </c>
    </row>
    <row r="273" ht="20" customHeight="1">
      <c r="A273" s="10" t="inlineStr">
        <is>
          <t>11/09/2026</t>
        </is>
      </c>
      <c r="B273" s="32" t="n">
        <v>3652</v>
      </c>
      <c r="C273" s="12" t="inlineStr">
        <is>
          <t>CARLOTA</t>
        </is>
      </c>
      <c r="D273" s="12" t="inlineStr">
        <is>
          <t>BAMBI</t>
        </is>
      </c>
      <c r="E273" s="13" t="n">
        <v>12</v>
      </c>
      <c r="F273" s="13" t="n">
        <v>0</v>
      </c>
      <c r="G273" s="13">
        <f>E273-F273</f>
        <v/>
      </c>
      <c r="H273" s="21">
        <f>IF(E273&gt;0, F273/E273, 0)</f>
        <v/>
      </c>
      <c r="I273" s="36" t="inlineStr">
        <is>
          <t>Pendiente</t>
        </is>
      </c>
    </row>
    <row r="274" ht="20" customHeight="1">
      <c r="A274" s="16" t="inlineStr">
        <is>
          <t>11/09/2026</t>
        </is>
      </c>
      <c r="B274" s="34" t="n">
        <v>3653</v>
      </c>
      <c r="C274" s="18" t="inlineStr">
        <is>
          <t>CARLOTA</t>
        </is>
      </c>
      <c r="D274" s="18" t="inlineStr">
        <is>
          <t>BAMBI</t>
        </is>
      </c>
      <c r="E274" s="19" t="n">
        <v>12</v>
      </c>
      <c r="F274" s="19" t="n">
        <v>0</v>
      </c>
      <c r="G274" s="19">
        <f>E274-F274</f>
        <v/>
      </c>
      <c r="H274" s="35">
        <f>IF(E274&gt;0, F274/E274, 0)</f>
        <v/>
      </c>
      <c r="I274" s="36" t="inlineStr">
        <is>
          <t>Pendiente</t>
        </is>
      </c>
    </row>
    <row r="275" ht="20" customHeight="1">
      <c r="A275" s="10" t="inlineStr">
        <is>
          <t>11/09/2026</t>
        </is>
      </c>
      <c r="B275" s="32" t="n">
        <v>3659</v>
      </c>
      <c r="C275" s="12" t="inlineStr">
        <is>
          <t>CARLOTA</t>
        </is>
      </c>
      <c r="D275" s="12" t="inlineStr">
        <is>
          <t>LEOPARDO</t>
        </is>
      </c>
      <c r="E275" s="13" t="n">
        <v>12</v>
      </c>
      <c r="F275" s="13" t="n">
        <v>10</v>
      </c>
      <c r="G275" s="13">
        <f>E275-F275</f>
        <v/>
      </c>
      <c r="H275" s="21">
        <f>IF(E275&gt;0, F275/E275, 0)</f>
        <v/>
      </c>
      <c r="I275" s="36" t="inlineStr">
        <is>
          <t>Pendiente</t>
        </is>
      </c>
    </row>
    <row r="276" ht="20" customHeight="1">
      <c r="A276" s="16" t="inlineStr">
        <is>
          <t>11/09/2026</t>
        </is>
      </c>
      <c r="B276" s="34" t="n">
        <v>3660</v>
      </c>
      <c r="C276" s="18" t="inlineStr">
        <is>
          <t>CARLOTA</t>
        </is>
      </c>
      <c r="D276" s="18" t="inlineStr">
        <is>
          <t>LEOPARDO</t>
        </is>
      </c>
      <c r="E276" s="19" t="n">
        <v>12</v>
      </c>
      <c r="F276" s="19" t="n">
        <v>8</v>
      </c>
      <c r="G276" s="19">
        <f>E276-F276</f>
        <v/>
      </c>
      <c r="H276" s="35">
        <f>IF(E276&gt;0, F276/E276, 0)</f>
        <v/>
      </c>
      <c r="I276" s="36" t="inlineStr">
        <is>
          <t>Pendiente</t>
        </is>
      </c>
    </row>
    <row r="277" ht="20" customHeight="1">
      <c r="A277" s="10" t="inlineStr">
        <is>
          <t>11/09/2026</t>
        </is>
      </c>
      <c r="B277" s="32" t="n">
        <v>3661</v>
      </c>
      <c r="C277" s="12" t="inlineStr">
        <is>
          <t>CARLOTA</t>
        </is>
      </c>
      <c r="D277" s="12" t="inlineStr">
        <is>
          <t>LEOPARDO</t>
        </is>
      </c>
      <c r="E277" s="13" t="n">
        <v>12</v>
      </c>
      <c r="F277" s="13" t="n">
        <v>0</v>
      </c>
      <c r="G277" s="13">
        <f>E277-F277</f>
        <v/>
      </c>
      <c r="H277" s="21">
        <f>IF(E277&gt;0, F277/E277, 0)</f>
        <v/>
      </c>
      <c r="I277" s="36" t="inlineStr">
        <is>
          <t>Pendiente</t>
        </is>
      </c>
    </row>
    <row r="278" ht="20" customHeight="1">
      <c r="A278" s="16" t="inlineStr">
        <is>
          <t>11/09/2026</t>
        </is>
      </c>
      <c r="B278" s="34" t="n">
        <v>3662</v>
      </c>
      <c r="C278" s="18" t="inlineStr">
        <is>
          <t>CARLOTA</t>
        </is>
      </c>
      <c r="D278" s="18" t="inlineStr">
        <is>
          <t>LEOPARDO</t>
        </is>
      </c>
      <c r="E278" s="19" t="n">
        <v>12</v>
      </c>
      <c r="F278" s="19" t="n">
        <v>0</v>
      </c>
      <c r="G278" s="19">
        <f>E278-F278</f>
        <v/>
      </c>
      <c r="H278" s="35">
        <f>IF(E278&gt;0, F278/E278, 0)</f>
        <v/>
      </c>
      <c r="I278" s="36" t="inlineStr">
        <is>
          <t>Pendiente</t>
        </is>
      </c>
    </row>
    <row r="279" ht="20" customHeight="1">
      <c r="A279" s="10" t="inlineStr">
        <is>
          <t>11/09/2026</t>
        </is>
      </c>
      <c r="B279" s="32" t="n">
        <v>3654</v>
      </c>
      <c r="C279" s="12" t="inlineStr">
        <is>
          <t>CARLOTA</t>
        </is>
      </c>
      <c r="D279" s="12" t="inlineStr">
        <is>
          <t>VACA</t>
        </is>
      </c>
      <c r="E279" s="13" t="n">
        <v>12</v>
      </c>
      <c r="F279" s="13" t="n">
        <v>0</v>
      </c>
      <c r="G279" s="13">
        <f>E279-F279</f>
        <v/>
      </c>
      <c r="H279" s="21">
        <f>IF(E279&gt;0, F279/E279, 0)</f>
        <v/>
      </c>
      <c r="I279" s="36" t="inlineStr">
        <is>
          <t>Pendiente</t>
        </is>
      </c>
    </row>
    <row r="280" ht="20" customHeight="1">
      <c r="A280" s="16" t="inlineStr">
        <is>
          <t>11/09/2026</t>
        </is>
      </c>
      <c r="B280" s="34" t="n">
        <v>3655</v>
      </c>
      <c r="C280" s="18" t="inlineStr">
        <is>
          <t>CARLOTA</t>
        </is>
      </c>
      <c r="D280" s="18" t="inlineStr">
        <is>
          <t>VACA</t>
        </is>
      </c>
      <c r="E280" s="19" t="n">
        <v>12</v>
      </c>
      <c r="F280" s="19" t="n">
        <v>11</v>
      </c>
      <c r="G280" s="19">
        <f>E280-F280</f>
        <v/>
      </c>
      <c r="H280" s="35">
        <f>IF(E280&gt;0, F280/E280, 0)</f>
        <v/>
      </c>
      <c r="I280" s="36" t="inlineStr">
        <is>
          <t>Pendiente</t>
        </is>
      </c>
    </row>
    <row r="281" ht="20" customHeight="1">
      <c r="A281" s="10" t="inlineStr">
        <is>
          <t>11/09/2026</t>
        </is>
      </c>
      <c r="B281" s="32" t="n">
        <v>3656</v>
      </c>
      <c r="C281" s="12" t="inlineStr">
        <is>
          <t>CARLOTA</t>
        </is>
      </c>
      <c r="D281" s="12" t="inlineStr">
        <is>
          <t>VACA</t>
        </is>
      </c>
      <c r="E281" s="13" t="n">
        <v>12</v>
      </c>
      <c r="F281" s="13" t="n">
        <v>7</v>
      </c>
      <c r="G281" s="13">
        <f>E281-F281</f>
        <v/>
      </c>
      <c r="H281" s="21">
        <f>IF(E281&gt;0, F281/E281, 0)</f>
        <v/>
      </c>
      <c r="I281" s="36" t="inlineStr">
        <is>
          <t>Pendiente</t>
        </is>
      </c>
    </row>
    <row r="282" ht="20" customHeight="1">
      <c r="A282" s="16" t="inlineStr">
        <is>
          <t>11/09/2026</t>
        </is>
      </c>
      <c r="B282" s="34" t="n">
        <v>3657</v>
      </c>
      <c r="C282" s="18" t="inlineStr">
        <is>
          <t>CARLOTA</t>
        </is>
      </c>
      <c r="D282" s="18" t="inlineStr">
        <is>
          <t>VACA</t>
        </is>
      </c>
      <c r="E282" s="19" t="n">
        <v>12</v>
      </c>
      <c r="F282" s="19" t="n">
        <v>0</v>
      </c>
      <c r="G282" s="19">
        <f>E282-F282</f>
        <v/>
      </c>
      <c r="H282" s="35">
        <f>IF(E282&gt;0, F282/E282, 0)</f>
        <v/>
      </c>
      <c r="I282" s="36" t="inlineStr">
        <is>
          <t>Pendiente</t>
        </is>
      </c>
    </row>
    <row r="283" ht="20" customHeight="1">
      <c r="A283" s="10" t="inlineStr">
        <is>
          <t>11/09/2026</t>
        </is>
      </c>
      <c r="B283" s="32" t="n">
        <v>3658</v>
      </c>
      <c r="C283" s="12" t="inlineStr">
        <is>
          <t>CARLOTA</t>
        </is>
      </c>
      <c r="D283" s="12" t="inlineStr">
        <is>
          <t>VACA</t>
        </is>
      </c>
      <c r="E283" s="13" t="n">
        <v>12</v>
      </c>
      <c r="F283" s="13" t="n">
        <v>0</v>
      </c>
      <c r="G283" s="13">
        <f>E283-F283</f>
        <v/>
      </c>
      <c r="H283" s="21">
        <f>IF(E283&gt;0, F283/E283, 0)</f>
        <v/>
      </c>
      <c r="I283" s="36" t="inlineStr">
        <is>
          <t>Pendiente</t>
        </is>
      </c>
    </row>
    <row r="284" ht="20" customHeight="1">
      <c r="A284" s="16" t="inlineStr">
        <is>
          <t>11/09/2026</t>
        </is>
      </c>
      <c r="B284" s="34" t="n">
        <v>3644</v>
      </c>
      <c r="C284" s="18" t="inlineStr">
        <is>
          <t>GRETA</t>
        </is>
      </c>
      <c r="D284" s="18" t="inlineStr">
        <is>
          <t>GAMUZA CAMEL</t>
        </is>
      </c>
      <c r="E284" s="19" t="n">
        <v>12</v>
      </c>
      <c r="F284" s="19" t="n">
        <v>12</v>
      </c>
      <c r="G284" s="19">
        <f>E284-F284</f>
        <v/>
      </c>
      <c r="H284" s="35">
        <f>IF(E284&gt;0, F284/E284, 0)</f>
        <v/>
      </c>
      <c r="I284" s="33" t="inlineStr">
        <is>
          <t>Completo</t>
        </is>
      </c>
    </row>
    <row r="285" ht="20" customHeight="1">
      <c r="A285" s="10" t="inlineStr">
        <is>
          <t>11/09/2026</t>
        </is>
      </c>
      <c r="B285" s="32" t="n">
        <v>3645</v>
      </c>
      <c r="C285" s="12" t="inlineStr">
        <is>
          <t>GRETA</t>
        </is>
      </c>
      <c r="D285" s="12" t="inlineStr">
        <is>
          <t>GAMUZA CAMEL</t>
        </is>
      </c>
      <c r="E285" s="13" t="n">
        <v>12</v>
      </c>
      <c r="F285" s="13" t="n">
        <v>12</v>
      </c>
      <c r="G285" s="13">
        <f>E285-F285</f>
        <v/>
      </c>
      <c r="H285" s="21">
        <f>IF(E285&gt;0, F285/E285, 0)</f>
        <v/>
      </c>
      <c r="I285" s="33" t="inlineStr">
        <is>
          <t>Completo</t>
        </is>
      </c>
    </row>
    <row r="286" ht="20" customHeight="1">
      <c r="A286" s="16" t="inlineStr">
        <is>
          <t>11/09/2026</t>
        </is>
      </c>
      <c r="B286" s="34" t="n">
        <v>3646</v>
      </c>
      <c r="C286" s="18" t="inlineStr">
        <is>
          <t>GRETA</t>
        </is>
      </c>
      <c r="D286" s="18" t="inlineStr">
        <is>
          <t>GAMUZA CAMEL</t>
        </is>
      </c>
      <c r="E286" s="19" t="n">
        <v>12</v>
      </c>
      <c r="F286" s="19" t="n">
        <v>12</v>
      </c>
      <c r="G286" s="19">
        <f>E286-F286</f>
        <v/>
      </c>
      <c r="H286" s="35">
        <f>IF(E286&gt;0, F286/E286, 0)</f>
        <v/>
      </c>
      <c r="I286" s="33" t="inlineStr">
        <is>
          <t>Completo</t>
        </is>
      </c>
    </row>
    <row r="287" ht="20" customHeight="1">
      <c r="A287" s="10" t="inlineStr">
        <is>
          <t>11/09/2026</t>
        </is>
      </c>
      <c r="B287" s="32" t="n">
        <v>3647</v>
      </c>
      <c r="C287" s="12" t="inlineStr">
        <is>
          <t>GRETA</t>
        </is>
      </c>
      <c r="D287" s="12" t="inlineStr">
        <is>
          <t>GAMUZA CAMEL</t>
        </is>
      </c>
      <c r="E287" s="13" t="n">
        <v>12</v>
      </c>
      <c r="F287" s="13" t="n">
        <v>12</v>
      </c>
      <c r="G287" s="13">
        <f>E287-F287</f>
        <v/>
      </c>
      <c r="H287" s="21">
        <f>IF(E287&gt;0, F287/E287, 0)</f>
        <v/>
      </c>
      <c r="I287" s="33" t="inlineStr">
        <is>
          <t>Completo</t>
        </is>
      </c>
    </row>
    <row r="288" ht="20" customHeight="1">
      <c r="A288" s="16" t="inlineStr">
        <is>
          <t>11/09/2026</t>
        </is>
      </c>
      <c r="B288" s="34" t="n">
        <v>3648</v>
      </c>
      <c r="C288" s="18" t="inlineStr">
        <is>
          <t>GRETA</t>
        </is>
      </c>
      <c r="D288" s="18" t="inlineStr">
        <is>
          <t>GAMUZA CAMEL</t>
        </is>
      </c>
      <c r="E288" s="19" t="n">
        <v>12</v>
      </c>
      <c r="F288" s="19" t="n">
        <v>0</v>
      </c>
      <c r="G288" s="19">
        <f>E288-F288</f>
        <v/>
      </c>
      <c r="H288" s="35">
        <f>IF(E288&gt;0, F288/E288, 0)</f>
        <v/>
      </c>
      <c r="I288" s="36" t="inlineStr">
        <is>
          <t>Pendiente</t>
        </is>
      </c>
    </row>
    <row r="289" ht="20" customHeight="1">
      <c r="A289" s="10" t="inlineStr">
        <is>
          <t>11/09/2026</t>
        </is>
      </c>
      <c r="B289" s="32" t="n">
        <v>3634</v>
      </c>
      <c r="C289" s="12" t="inlineStr">
        <is>
          <t>GRETA</t>
        </is>
      </c>
      <c r="D289" s="12" t="inlineStr">
        <is>
          <t>GAMUZA MARRON</t>
        </is>
      </c>
      <c r="E289" s="13" t="n">
        <v>12</v>
      </c>
      <c r="F289" s="13" t="n">
        <v>11</v>
      </c>
      <c r="G289" s="13">
        <f>E289-F289</f>
        <v/>
      </c>
      <c r="H289" s="21">
        <f>IF(E289&gt;0, F289/E289, 0)</f>
        <v/>
      </c>
      <c r="I289" s="36" t="inlineStr">
        <is>
          <t>Pendiente</t>
        </is>
      </c>
    </row>
    <row r="290" ht="20" customHeight="1">
      <c r="A290" s="16" t="inlineStr">
        <is>
          <t>11/09/2026</t>
        </is>
      </c>
      <c r="B290" s="34" t="n">
        <v>3635</v>
      </c>
      <c r="C290" s="18" t="inlineStr">
        <is>
          <t>GRETA</t>
        </is>
      </c>
      <c r="D290" s="18" t="inlineStr">
        <is>
          <t>GAMUZA MARRON</t>
        </is>
      </c>
      <c r="E290" s="19" t="n">
        <v>12</v>
      </c>
      <c r="F290" s="19" t="n">
        <v>12</v>
      </c>
      <c r="G290" s="19">
        <f>E290-F290</f>
        <v/>
      </c>
      <c r="H290" s="35">
        <f>IF(E290&gt;0, F290/E290, 0)</f>
        <v/>
      </c>
      <c r="I290" s="33" t="inlineStr">
        <is>
          <t>Completo</t>
        </is>
      </c>
    </row>
    <row r="291" ht="20" customHeight="1">
      <c r="A291" s="10" t="inlineStr">
        <is>
          <t>11/09/2026</t>
        </is>
      </c>
      <c r="B291" s="32" t="n">
        <v>3636</v>
      </c>
      <c r="C291" s="12" t="inlineStr">
        <is>
          <t>GRETA</t>
        </is>
      </c>
      <c r="D291" s="12" t="inlineStr">
        <is>
          <t>GAMUZA MARRON</t>
        </is>
      </c>
      <c r="E291" s="13" t="n">
        <v>12</v>
      </c>
      <c r="F291" s="13" t="n">
        <v>12</v>
      </c>
      <c r="G291" s="13">
        <f>E291-F291</f>
        <v/>
      </c>
      <c r="H291" s="21">
        <f>IF(E291&gt;0, F291/E291, 0)</f>
        <v/>
      </c>
      <c r="I291" s="33" t="inlineStr">
        <is>
          <t>Completo</t>
        </is>
      </c>
    </row>
    <row r="292" ht="20" customHeight="1">
      <c r="A292" s="16" t="inlineStr">
        <is>
          <t>11/09/2026</t>
        </is>
      </c>
      <c r="B292" s="34" t="n">
        <v>3637</v>
      </c>
      <c r="C292" s="18" t="inlineStr">
        <is>
          <t>GRETA</t>
        </is>
      </c>
      <c r="D292" s="18" t="inlineStr">
        <is>
          <t>GAMUZA MARRON</t>
        </is>
      </c>
      <c r="E292" s="19" t="n">
        <v>12</v>
      </c>
      <c r="F292" s="19" t="n">
        <v>11</v>
      </c>
      <c r="G292" s="19">
        <f>E292-F292</f>
        <v/>
      </c>
      <c r="H292" s="35">
        <f>IF(E292&gt;0, F292/E292, 0)</f>
        <v/>
      </c>
      <c r="I292" s="36" t="inlineStr">
        <is>
          <t>Pendiente</t>
        </is>
      </c>
    </row>
    <row r="293" ht="20" customHeight="1">
      <c r="A293" s="10" t="inlineStr">
        <is>
          <t>11/09/2026</t>
        </is>
      </c>
      <c r="B293" s="32" t="n">
        <v>3638</v>
      </c>
      <c r="C293" s="12" t="inlineStr">
        <is>
          <t>GRETA</t>
        </is>
      </c>
      <c r="D293" s="12" t="inlineStr">
        <is>
          <t>GAMUZA MARRON</t>
        </is>
      </c>
      <c r="E293" s="13" t="n">
        <v>12</v>
      </c>
      <c r="F293" s="13" t="n">
        <v>0</v>
      </c>
      <c r="G293" s="13">
        <f>E293-F293</f>
        <v/>
      </c>
      <c r="H293" s="21">
        <f>IF(E293&gt;0, F293/E293, 0)</f>
        <v/>
      </c>
      <c r="I293" s="36" t="inlineStr">
        <is>
          <t>Pendiente</t>
        </is>
      </c>
    </row>
    <row r="294" ht="20" customHeight="1">
      <c r="A294" s="16" t="inlineStr">
        <is>
          <t>11/09/2026</t>
        </is>
      </c>
      <c r="B294" s="34" t="n">
        <v>3639</v>
      </c>
      <c r="C294" s="18" t="inlineStr">
        <is>
          <t>GRETA</t>
        </is>
      </c>
      <c r="D294" s="18" t="inlineStr">
        <is>
          <t>GAMUZA VINO</t>
        </is>
      </c>
      <c r="E294" s="19" t="n">
        <v>12</v>
      </c>
      <c r="F294" s="19" t="n">
        <v>12</v>
      </c>
      <c r="G294" s="19">
        <f>E294-F294</f>
        <v/>
      </c>
      <c r="H294" s="35">
        <f>IF(E294&gt;0, F294/E294, 0)</f>
        <v/>
      </c>
      <c r="I294" s="33" t="inlineStr">
        <is>
          <t>Completo</t>
        </is>
      </c>
    </row>
    <row r="295" ht="20" customHeight="1">
      <c r="A295" s="10" t="inlineStr">
        <is>
          <t>11/09/2026</t>
        </is>
      </c>
      <c r="B295" s="32" t="n">
        <v>3640</v>
      </c>
      <c r="C295" s="12" t="inlineStr">
        <is>
          <t>GRETA</t>
        </is>
      </c>
      <c r="D295" s="12" t="inlineStr">
        <is>
          <t>GAMUZA VINO</t>
        </is>
      </c>
      <c r="E295" s="13" t="n">
        <v>12</v>
      </c>
      <c r="F295" s="13" t="n">
        <v>12</v>
      </c>
      <c r="G295" s="13">
        <f>E295-F295</f>
        <v/>
      </c>
      <c r="H295" s="21">
        <f>IF(E295&gt;0, F295/E295, 0)</f>
        <v/>
      </c>
      <c r="I295" s="33" t="inlineStr">
        <is>
          <t>Completo</t>
        </is>
      </c>
    </row>
    <row r="296" ht="20" customHeight="1">
      <c r="A296" s="16" t="inlineStr">
        <is>
          <t>11/09/2026</t>
        </is>
      </c>
      <c r="B296" s="34" t="n">
        <v>3641</v>
      </c>
      <c r="C296" s="18" t="inlineStr">
        <is>
          <t>GRETA</t>
        </is>
      </c>
      <c r="D296" s="18" t="inlineStr">
        <is>
          <t>GAMUZA VINO</t>
        </is>
      </c>
      <c r="E296" s="19" t="n">
        <v>12</v>
      </c>
      <c r="F296" s="19" t="n">
        <v>9</v>
      </c>
      <c r="G296" s="19">
        <f>E296-F296</f>
        <v/>
      </c>
      <c r="H296" s="35">
        <f>IF(E296&gt;0, F296/E296, 0)</f>
        <v/>
      </c>
      <c r="I296" s="36" t="inlineStr">
        <is>
          <t>Pendiente</t>
        </is>
      </c>
    </row>
    <row r="297" ht="20" customHeight="1">
      <c r="A297" s="10" t="inlineStr">
        <is>
          <t>11/09/2026</t>
        </is>
      </c>
      <c r="B297" s="32" t="n">
        <v>3642</v>
      </c>
      <c r="C297" s="12" t="inlineStr">
        <is>
          <t>GRETA</t>
        </is>
      </c>
      <c r="D297" s="12" t="inlineStr">
        <is>
          <t>GAMUZA VINO</t>
        </is>
      </c>
      <c r="E297" s="13" t="n">
        <v>12</v>
      </c>
      <c r="F297" s="13" t="n">
        <v>12</v>
      </c>
      <c r="G297" s="13">
        <f>E297-F297</f>
        <v/>
      </c>
      <c r="H297" s="21">
        <f>IF(E297&gt;0, F297/E297, 0)</f>
        <v/>
      </c>
      <c r="I297" s="33" t="inlineStr">
        <is>
          <t>Completo</t>
        </is>
      </c>
    </row>
    <row r="298" ht="20" customHeight="1">
      <c r="A298" s="16" t="inlineStr">
        <is>
          <t>11/09/2026</t>
        </is>
      </c>
      <c r="B298" s="34" t="n">
        <v>3643</v>
      </c>
      <c r="C298" s="18" t="inlineStr">
        <is>
          <t>GRETA</t>
        </is>
      </c>
      <c r="D298" s="18" t="inlineStr">
        <is>
          <t>GAMUZA VINO</t>
        </is>
      </c>
      <c r="E298" s="19" t="n">
        <v>12</v>
      </c>
      <c r="F298" s="19" t="n">
        <v>0</v>
      </c>
      <c r="G298" s="19">
        <f>E298-F298</f>
        <v/>
      </c>
      <c r="H298" s="35">
        <f>IF(E298&gt;0, F298/E298, 0)</f>
        <v/>
      </c>
      <c r="I298" s="36" t="inlineStr">
        <is>
          <t>Pendiente</t>
        </is>
      </c>
    </row>
    <row r="299" ht="20" customHeight="1">
      <c r="A299" s="10" t="inlineStr">
        <is>
          <t>11/09/2026</t>
        </is>
      </c>
      <c r="B299" s="32" t="n">
        <v>3671</v>
      </c>
      <c r="C299" s="12" t="inlineStr">
        <is>
          <t>JULIETA</t>
        </is>
      </c>
      <c r="D299" s="12" t="inlineStr">
        <is>
          <t>CEBRA BEIGE</t>
        </is>
      </c>
      <c r="E299" s="13" t="n">
        <v>12</v>
      </c>
      <c r="F299" s="13" t="n">
        <v>11</v>
      </c>
      <c r="G299" s="13">
        <f>E299-F299</f>
        <v/>
      </c>
      <c r="H299" s="21">
        <f>IF(E299&gt;0, F299/E299, 0)</f>
        <v/>
      </c>
      <c r="I299" s="36" t="inlineStr">
        <is>
          <t>Pendiente</t>
        </is>
      </c>
    </row>
    <row r="300" ht="20" customHeight="1">
      <c r="A300" s="16" t="inlineStr">
        <is>
          <t>11/09/2026</t>
        </is>
      </c>
      <c r="B300" s="34" t="n">
        <v>3672</v>
      </c>
      <c r="C300" s="18" t="inlineStr">
        <is>
          <t>JULIETA</t>
        </is>
      </c>
      <c r="D300" s="18" t="inlineStr">
        <is>
          <t>CEBRA BEIGE</t>
        </is>
      </c>
      <c r="E300" s="19" t="n">
        <v>12</v>
      </c>
      <c r="F300" s="19" t="n">
        <v>10</v>
      </c>
      <c r="G300" s="19">
        <f>E300-F300</f>
        <v/>
      </c>
      <c r="H300" s="35">
        <f>IF(E300&gt;0, F300/E300, 0)</f>
        <v/>
      </c>
      <c r="I300" s="36" t="inlineStr">
        <is>
          <t>Pendiente</t>
        </is>
      </c>
    </row>
    <row r="301" ht="20" customHeight="1">
      <c r="A301" s="10" t="inlineStr">
        <is>
          <t>11/09/2026</t>
        </is>
      </c>
      <c r="B301" s="32" t="n">
        <v>3673</v>
      </c>
      <c r="C301" s="12" t="inlineStr">
        <is>
          <t>JULIETA</t>
        </is>
      </c>
      <c r="D301" s="12" t="inlineStr">
        <is>
          <t>CEBRA BEIGE</t>
        </is>
      </c>
      <c r="E301" s="13" t="n">
        <v>12</v>
      </c>
      <c r="F301" s="13" t="n">
        <v>7</v>
      </c>
      <c r="G301" s="13">
        <f>E301-F301</f>
        <v/>
      </c>
      <c r="H301" s="21">
        <f>IF(E301&gt;0, F301/E301, 0)</f>
        <v/>
      </c>
      <c r="I301" s="36" t="inlineStr">
        <is>
          <t>Pendiente</t>
        </is>
      </c>
    </row>
    <row r="302" ht="20" customHeight="1">
      <c r="A302" s="16" t="inlineStr">
        <is>
          <t>11/09/2026</t>
        </is>
      </c>
      <c r="B302" s="34" t="n">
        <v>3674</v>
      </c>
      <c r="C302" s="18" t="inlineStr">
        <is>
          <t>JULIETA</t>
        </is>
      </c>
      <c r="D302" s="18" t="inlineStr">
        <is>
          <t>CEBRA BEIGE</t>
        </is>
      </c>
      <c r="E302" s="19" t="n">
        <v>12</v>
      </c>
      <c r="F302" s="19" t="n">
        <v>0</v>
      </c>
      <c r="G302" s="19">
        <f>E302-F302</f>
        <v/>
      </c>
      <c r="H302" s="35">
        <f>IF(E302&gt;0, F302/E302, 0)</f>
        <v/>
      </c>
      <c r="I302" s="36" t="inlineStr">
        <is>
          <t>Pendiente</t>
        </is>
      </c>
    </row>
    <row r="303" ht="20" customHeight="1">
      <c r="A303" s="10" t="inlineStr">
        <is>
          <t>11/09/2026</t>
        </is>
      </c>
      <c r="B303" s="32" t="n">
        <v>3663</v>
      </c>
      <c r="C303" s="12" t="inlineStr">
        <is>
          <t>JULIETA</t>
        </is>
      </c>
      <c r="D303" s="12" t="inlineStr">
        <is>
          <t>CEBRA NEGRO</t>
        </is>
      </c>
      <c r="E303" s="13" t="n">
        <v>12</v>
      </c>
      <c r="F303" s="13" t="n">
        <v>11</v>
      </c>
      <c r="G303" s="13">
        <f>E303-F303</f>
        <v/>
      </c>
      <c r="H303" s="21">
        <f>IF(E303&gt;0, F303/E303, 0)</f>
        <v/>
      </c>
      <c r="I303" s="36" t="inlineStr">
        <is>
          <t>Pendiente</t>
        </is>
      </c>
    </row>
    <row r="304" ht="20" customHeight="1">
      <c r="A304" s="16" t="inlineStr">
        <is>
          <t>11/09/2026</t>
        </is>
      </c>
      <c r="B304" s="34" t="n">
        <v>3664</v>
      </c>
      <c r="C304" s="18" t="inlineStr">
        <is>
          <t>JULIETA</t>
        </is>
      </c>
      <c r="D304" s="18" t="inlineStr">
        <is>
          <t>CEBRA NEGRO</t>
        </is>
      </c>
      <c r="E304" s="19" t="n">
        <v>12</v>
      </c>
      <c r="F304" s="19" t="n">
        <v>10</v>
      </c>
      <c r="G304" s="19">
        <f>E304-F304</f>
        <v/>
      </c>
      <c r="H304" s="35">
        <f>IF(E304&gt;0, F304/E304, 0)</f>
        <v/>
      </c>
      <c r="I304" s="36" t="inlineStr">
        <is>
          <t>Pendiente</t>
        </is>
      </c>
    </row>
    <row r="305" ht="20" customHeight="1">
      <c r="A305" s="10" t="inlineStr">
        <is>
          <t>11/09/2026</t>
        </is>
      </c>
      <c r="B305" s="32" t="n">
        <v>3665</v>
      </c>
      <c r="C305" s="12" t="inlineStr">
        <is>
          <t>JULIETA</t>
        </is>
      </c>
      <c r="D305" s="12" t="inlineStr">
        <is>
          <t>CEBRA NEGRO</t>
        </is>
      </c>
      <c r="E305" s="13" t="n">
        <v>12</v>
      </c>
      <c r="F305" s="13" t="n">
        <v>11</v>
      </c>
      <c r="G305" s="13">
        <f>E305-F305</f>
        <v/>
      </c>
      <c r="H305" s="21">
        <f>IF(E305&gt;0, F305/E305, 0)</f>
        <v/>
      </c>
      <c r="I305" s="36" t="inlineStr">
        <is>
          <t>Pendiente</t>
        </is>
      </c>
    </row>
    <row r="306" ht="20" customHeight="1">
      <c r="A306" s="16" t="inlineStr">
        <is>
          <t>11/09/2026</t>
        </is>
      </c>
      <c r="B306" s="34" t="n">
        <v>3666</v>
      </c>
      <c r="C306" s="18" t="inlineStr">
        <is>
          <t>JULIETA</t>
        </is>
      </c>
      <c r="D306" s="18" t="inlineStr">
        <is>
          <t>CEBRA NEGRO</t>
        </is>
      </c>
      <c r="E306" s="19" t="n">
        <v>12</v>
      </c>
      <c r="F306" s="19" t="n">
        <v>0</v>
      </c>
      <c r="G306" s="19">
        <f>E306-F306</f>
        <v/>
      </c>
      <c r="H306" s="35">
        <f>IF(E306&gt;0, F306/E306, 0)</f>
        <v/>
      </c>
      <c r="I306" s="36" t="inlineStr">
        <is>
          <t>Pendiente</t>
        </is>
      </c>
    </row>
    <row r="307" ht="20" customHeight="1">
      <c r="A307" s="10" t="inlineStr">
        <is>
          <t>11/09/2026</t>
        </is>
      </c>
      <c r="B307" s="32" t="n">
        <v>3667</v>
      </c>
      <c r="C307" s="12" t="inlineStr">
        <is>
          <t>JULIETA</t>
        </is>
      </c>
      <c r="D307" s="12" t="inlineStr">
        <is>
          <t>CEBRA VINO</t>
        </is>
      </c>
      <c r="E307" s="13" t="n">
        <v>12</v>
      </c>
      <c r="F307" s="13" t="n">
        <v>12</v>
      </c>
      <c r="G307" s="13">
        <f>E307-F307</f>
        <v/>
      </c>
      <c r="H307" s="21">
        <f>IF(E307&gt;0, F307/E307, 0)</f>
        <v/>
      </c>
      <c r="I307" s="33" t="inlineStr">
        <is>
          <t>Completo</t>
        </is>
      </c>
    </row>
    <row r="308" ht="20" customHeight="1">
      <c r="A308" s="16" t="inlineStr">
        <is>
          <t>11/09/2026</t>
        </is>
      </c>
      <c r="B308" s="34" t="n">
        <v>3668</v>
      </c>
      <c r="C308" s="18" t="inlineStr">
        <is>
          <t>JULIETA</t>
        </is>
      </c>
      <c r="D308" s="18" t="inlineStr">
        <is>
          <t>CEBRA VINO</t>
        </is>
      </c>
      <c r="E308" s="19" t="n">
        <v>12</v>
      </c>
      <c r="F308" s="19" t="n">
        <v>11</v>
      </c>
      <c r="G308" s="19">
        <f>E308-F308</f>
        <v/>
      </c>
      <c r="H308" s="35">
        <f>IF(E308&gt;0, F308/E308, 0)</f>
        <v/>
      </c>
      <c r="I308" s="36" t="inlineStr">
        <is>
          <t>Pendiente</t>
        </is>
      </c>
    </row>
    <row r="309" ht="20" customHeight="1">
      <c r="A309" s="10" t="inlineStr">
        <is>
          <t>11/09/2026</t>
        </is>
      </c>
      <c r="B309" s="32" t="n">
        <v>3669</v>
      </c>
      <c r="C309" s="12" t="inlineStr">
        <is>
          <t>JULIETA</t>
        </is>
      </c>
      <c r="D309" s="12" t="inlineStr">
        <is>
          <t>CEBRA VINO</t>
        </is>
      </c>
      <c r="E309" s="13" t="n">
        <v>12</v>
      </c>
      <c r="F309" s="13" t="n">
        <v>11</v>
      </c>
      <c r="G309" s="13">
        <f>E309-F309</f>
        <v/>
      </c>
      <c r="H309" s="21">
        <f>IF(E309&gt;0, F309/E309, 0)</f>
        <v/>
      </c>
      <c r="I309" s="36" t="inlineStr">
        <is>
          <t>Pendiente</t>
        </is>
      </c>
    </row>
    <row r="310" ht="20" customHeight="1">
      <c r="A310" s="16" t="inlineStr">
        <is>
          <t>11/09/2026</t>
        </is>
      </c>
      <c r="B310" s="34" t="n">
        <v>3670</v>
      </c>
      <c r="C310" s="18" t="inlineStr">
        <is>
          <t>JULIETA</t>
        </is>
      </c>
      <c r="D310" s="18" t="inlineStr">
        <is>
          <t>CEBRA VINO</t>
        </is>
      </c>
      <c r="E310" s="19" t="n">
        <v>12</v>
      </c>
      <c r="F310" s="19" t="n">
        <v>0</v>
      </c>
      <c r="G310" s="19">
        <f>E310-F310</f>
        <v/>
      </c>
      <c r="H310" s="35">
        <f>IF(E310&gt;0, F310/E310, 0)</f>
        <v/>
      </c>
      <c r="I310" s="36" t="inlineStr">
        <is>
          <t>Pendiente</t>
        </is>
      </c>
    </row>
    <row r="311" ht="20" customHeight="1">
      <c r="A311" s="10" t="inlineStr">
        <is>
          <t>11/09/2026</t>
        </is>
      </c>
      <c r="B311" s="32" t="n">
        <v>3629</v>
      </c>
      <c r="C311" s="12" t="inlineStr">
        <is>
          <t>MAFER</t>
        </is>
      </c>
      <c r="D311" s="12" t="inlineStr">
        <is>
          <t>BEIGE</t>
        </is>
      </c>
      <c r="E311" s="13" t="n">
        <v>12</v>
      </c>
      <c r="F311" s="13" t="n">
        <v>12</v>
      </c>
      <c r="G311" s="13">
        <f>E311-F311</f>
        <v/>
      </c>
      <c r="H311" s="21">
        <f>IF(E311&gt;0, F311/E311, 0)</f>
        <v/>
      </c>
      <c r="I311" s="33" t="inlineStr">
        <is>
          <t>Completo</t>
        </is>
      </c>
    </row>
    <row r="312" ht="20" customHeight="1">
      <c r="A312" s="16" t="inlineStr">
        <is>
          <t>11/09/2026</t>
        </is>
      </c>
      <c r="B312" s="34" t="n">
        <v>3630</v>
      </c>
      <c r="C312" s="18" t="inlineStr">
        <is>
          <t>MAFER</t>
        </is>
      </c>
      <c r="D312" s="18" t="inlineStr">
        <is>
          <t>BEIGE</t>
        </is>
      </c>
      <c r="E312" s="19" t="n">
        <v>12</v>
      </c>
      <c r="F312" s="19" t="n">
        <v>11</v>
      </c>
      <c r="G312" s="19">
        <f>E312-F312</f>
        <v/>
      </c>
      <c r="H312" s="35">
        <f>IF(E312&gt;0, F312/E312, 0)</f>
        <v/>
      </c>
      <c r="I312" s="36" t="inlineStr">
        <is>
          <t>Pendiente</t>
        </is>
      </c>
    </row>
    <row r="313" ht="20" customHeight="1">
      <c r="A313" s="10" t="inlineStr">
        <is>
          <t>11/09/2026</t>
        </is>
      </c>
      <c r="B313" s="32" t="n">
        <v>3631</v>
      </c>
      <c r="C313" s="12" t="inlineStr">
        <is>
          <t>MAFER</t>
        </is>
      </c>
      <c r="D313" s="12" t="inlineStr">
        <is>
          <t>BEIGE</t>
        </is>
      </c>
      <c r="E313" s="13" t="n">
        <v>12</v>
      </c>
      <c r="F313" s="13" t="n">
        <v>11</v>
      </c>
      <c r="G313" s="13">
        <f>E313-F313</f>
        <v/>
      </c>
      <c r="H313" s="21">
        <f>IF(E313&gt;0, F313/E313, 0)</f>
        <v/>
      </c>
      <c r="I313" s="36" t="inlineStr">
        <is>
          <t>Pendiente</t>
        </is>
      </c>
    </row>
    <row r="314" ht="20" customHeight="1">
      <c r="A314" s="16" t="inlineStr">
        <is>
          <t>11/09/2026</t>
        </is>
      </c>
      <c r="B314" s="34" t="n">
        <v>3632</v>
      </c>
      <c r="C314" s="18" t="inlineStr">
        <is>
          <t>MAFER</t>
        </is>
      </c>
      <c r="D314" s="18" t="inlineStr">
        <is>
          <t>BEIGE</t>
        </is>
      </c>
      <c r="E314" s="19" t="n">
        <v>12</v>
      </c>
      <c r="F314" s="19" t="n">
        <v>8</v>
      </c>
      <c r="G314" s="19">
        <f>E314-F314</f>
        <v/>
      </c>
      <c r="H314" s="35">
        <f>IF(E314&gt;0, F314/E314, 0)</f>
        <v/>
      </c>
      <c r="I314" s="36" t="inlineStr">
        <is>
          <t>Pendiente</t>
        </is>
      </c>
    </row>
    <row r="315" ht="20" customHeight="1">
      <c r="A315" s="10" t="inlineStr">
        <is>
          <t>11/09/2026</t>
        </is>
      </c>
      <c r="B315" s="32" t="n">
        <v>3633</v>
      </c>
      <c r="C315" s="12" t="inlineStr">
        <is>
          <t>MAFER</t>
        </is>
      </c>
      <c r="D315" s="12" t="inlineStr">
        <is>
          <t>BEIGE</t>
        </is>
      </c>
      <c r="E315" s="13" t="n">
        <v>12</v>
      </c>
      <c r="F315" s="13" t="n">
        <v>0</v>
      </c>
      <c r="G315" s="13">
        <f>E315-F315</f>
        <v/>
      </c>
      <c r="H315" s="21">
        <f>IF(E315&gt;0, F315/E315, 0)</f>
        <v/>
      </c>
      <c r="I315" s="36" t="inlineStr">
        <is>
          <t>Pendiente</t>
        </is>
      </c>
    </row>
    <row r="316" ht="20" customHeight="1">
      <c r="A316" s="16" t="inlineStr">
        <is>
          <t>12/09/2026</t>
        </is>
      </c>
      <c r="B316" s="34" t="n">
        <v>3675</v>
      </c>
      <c r="C316" s="18" t="inlineStr">
        <is>
          <t>ZOE</t>
        </is>
      </c>
      <c r="D316" s="18" t="inlineStr">
        <is>
          <t>BEIGE</t>
        </is>
      </c>
      <c r="E316" s="19" t="n">
        <v>12</v>
      </c>
      <c r="F316" s="19" t="n">
        <v>0</v>
      </c>
      <c r="G316" s="19">
        <f>E316-F316</f>
        <v/>
      </c>
      <c r="H316" s="35">
        <f>IF(E316&gt;0, F316/E316, 0)</f>
        <v/>
      </c>
      <c r="I316" s="36" t="inlineStr">
        <is>
          <t>Pendiente</t>
        </is>
      </c>
    </row>
    <row r="317" ht="20" customHeight="1">
      <c r="A317" s="10" t="inlineStr">
        <is>
          <t>12/09/2026</t>
        </is>
      </c>
      <c r="B317" s="32" t="n">
        <v>3676</v>
      </c>
      <c r="C317" s="12" t="inlineStr">
        <is>
          <t>ZOE</t>
        </is>
      </c>
      <c r="D317" s="12" t="inlineStr">
        <is>
          <t>BEIGE</t>
        </is>
      </c>
      <c r="E317" s="13" t="n">
        <v>12</v>
      </c>
      <c r="F317" s="13" t="n">
        <v>12</v>
      </c>
      <c r="G317" s="13">
        <f>E317-F317</f>
        <v/>
      </c>
      <c r="H317" s="21">
        <f>IF(E317&gt;0, F317/E317, 0)</f>
        <v/>
      </c>
      <c r="I317" s="33" t="inlineStr">
        <is>
          <t>Completo</t>
        </is>
      </c>
    </row>
    <row r="318" ht="20" customHeight="1">
      <c r="A318" s="16" t="inlineStr">
        <is>
          <t>12/09/2026</t>
        </is>
      </c>
      <c r="B318" s="34" t="n">
        <v>3677</v>
      </c>
      <c r="C318" s="18" t="inlineStr">
        <is>
          <t>ZOE</t>
        </is>
      </c>
      <c r="D318" s="18" t="inlineStr">
        <is>
          <t>BEIGE</t>
        </is>
      </c>
      <c r="E318" s="19" t="n">
        <v>12</v>
      </c>
      <c r="F318" s="19" t="n">
        <v>12</v>
      </c>
      <c r="G318" s="19">
        <f>E318-F318</f>
        <v/>
      </c>
      <c r="H318" s="35">
        <f>IF(E318&gt;0, F318/E318, 0)</f>
        <v/>
      </c>
      <c r="I318" s="33" t="inlineStr">
        <is>
          <t>Completo</t>
        </is>
      </c>
    </row>
    <row r="319" ht="20" customHeight="1">
      <c r="A319" s="10" t="inlineStr">
        <is>
          <t>12/09/2026</t>
        </is>
      </c>
      <c r="B319" s="32" t="n">
        <v>3678</v>
      </c>
      <c r="C319" s="12" t="inlineStr">
        <is>
          <t>ZOE</t>
        </is>
      </c>
      <c r="D319" s="12" t="inlineStr">
        <is>
          <t>BEIGE</t>
        </is>
      </c>
      <c r="E319" s="13" t="n">
        <v>12</v>
      </c>
      <c r="F319" s="13" t="n">
        <v>12</v>
      </c>
      <c r="G319" s="13">
        <f>E319-F319</f>
        <v/>
      </c>
      <c r="H319" s="21">
        <f>IF(E319&gt;0, F319/E319, 0)</f>
        <v/>
      </c>
      <c r="I319" s="33" t="inlineStr">
        <is>
          <t>Completo</t>
        </is>
      </c>
    </row>
    <row r="320" ht="20" customHeight="1">
      <c r="A320" s="16" t="inlineStr">
        <is>
          <t>12/09/2026</t>
        </is>
      </c>
      <c r="B320" s="34" t="n">
        <v>3679</v>
      </c>
      <c r="C320" s="18" t="inlineStr">
        <is>
          <t>ZOE</t>
        </is>
      </c>
      <c r="D320" s="18" t="inlineStr">
        <is>
          <t>BEIGE</t>
        </is>
      </c>
      <c r="E320" s="19" t="n">
        <v>12</v>
      </c>
      <c r="F320" s="19" t="n">
        <v>12</v>
      </c>
      <c r="G320" s="19">
        <f>E320-F320</f>
        <v/>
      </c>
      <c r="H320" s="35">
        <f>IF(E320&gt;0, F320/E320, 0)</f>
        <v/>
      </c>
      <c r="I320" s="33" t="inlineStr">
        <is>
          <t>Completo</t>
        </is>
      </c>
    </row>
    <row r="321" ht="20" customHeight="1">
      <c r="A321" s="10" t="inlineStr">
        <is>
          <t>17/09/2026</t>
        </is>
      </c>
      <c r="B321" s="32" t="n">
        <v>3685</v>
      </c>
      <c r="C321" s="12" t="inlineStr">
        <is>
          <t>FABIANA</t>
        </is>
      </c>
      <c r="D321" s="12" t="inlineStr">
        <is>
          <t>BEIGE</t>
        </is>
      </c>
      <c r="E321" s="13" t="n">
        <v>12</v>
      </c>
      <c r="F321" s="13" t="n">
        <v>0</v>
      </c>
      <c r="G321" s="13">
        <f>E321-F321</f>
        <v/>
      </c>
      <c r="H321" s="21">
        <f>IF(E321&gt;0, F321/E321, 0)</f>
        <v/>
      </c>
      <c r="I321" s="36" t="inlineStr">
        <is>
          <t>Pendiente</t>
        </is>
      </c>
    </row>
    <row r="322" ht="20" customHeight="1">
      <c r="A322" s="16" t="inlineStr">
        <is>
          <t>17/09/2026</t>
        </is>
      </c>
      <c r="B322" s="34" t="n">
        <v>3686</v>
      </c>
      <c r="C322" s="18" t="inlineStr">
        <is>
          <t>FABIANA</t>
        </is>
      </c>
      <c r="D322" s="18" t="inlineStr">
        <is>
          <t>BEIGE</t>
        </is>
      </c>
      <c r="E322" s="19" t="n">
        <v>12</v>
      </c>
      <c r="F322" s="19" t="n">
        <v>12</v>
      </c>
      <c r="G322" s="19">
        <f>E322-F322</f>
        <v/>
      </c>
      <c r="H322" s="35">
        <f>IF(E322&gt;0, F322/E322, 0)</f>
        <v/>
      </c>
      <c r="I322" s="33" t="inlineStr">
        <is>
          <t>Completo</t>
        </is>
      </c>
    </row>
    <row r="323" ht="20" customHeight="1">
      <c r="A323" s="10" t="inlineStr">
        <is>
          <t>17/09/2026</t>
        </is>
      </c>
      <c r="B323" s="32" t="n">
        <v>3680</v>
      </c>
      <c r="C323" s="12" t="inlineStr">
        <is>
          <t>FABIANA</t>
        </is>
      </c>
      <c r="D323" s="12" t="inlineStr">
        <is>
          <t>MORO</t>
        </is>
      </c>
      <c r="E323" s="13" t="n">
        <v>12</v>
      </c>
      <c r="F323" s="13" t="n">
        <v>0</v>
      </c>
      <c r="G323" s="13">
        <f>E323-F323</f>
        <v/>
      </c>
      <c r="H323" s="21">
        <f>IF(E323&gt;0, F323/E323, 0)</f>
        <v/>
      </c>
      <c r="I323" s="36" t="inlineStr">
        <is>
          <t>Pendiente</t>
        </is>
      </c>
    </row>
    <row r="324" ht="20" customHeight="1">
      <c r="A324" s="16" t="inlineStr">
        <is>
          <t>17/09/2026</t>
        </is>
      </c>
      <c r="B324" s="34" t="n">
        <v>3681</v>
      </c>
      <c r="C324" s="18" t="inlineStr">
        <is>
          <t>FABIANA</t>
        </is>
      </c>
      <c r="D324" s="18" t="inlineStr">
        <is>
          <t>MORO</t>
        </is>
      </c>
      <c r="E324" s="19" t="n">
        <v>12</v>
      </c>
      <c r="F324" s="19" t="n">
        <v>0</v>
      </c>
      <c r="G324" s="19">
        <f>E324-F324</f>
        <v/>
      </c>
      <c r="H324" s="35">
        <f>IF(E324&gt;0, F324/E324, 0)</f>
        <v/>
      </c>
      <c r="I324" s="36" t="inlineStr">
        <is>
          <t>Pendiente</t>
        </is>
      </c>
    </row>
    <row r="325" ht="20" customHeight="1">
      <c r="A325" s="10" t="inlineStr">
        <is>
          <t>17/09/2026</t>
        </is>
      </c>
      <c r="B325" s="32" t="n">
        <v>3682</v>
      </c>
      <c r="C325" s="12" t="inlineStr">
        <is>
          <t>FABIANA</t>
        </is>
      </c>
      <c r="D325" s="12" t="inlineStr">
        <is>
          <t>MORO</t>
        </is>
      </c>
      <c r="E325" s="13" t="n">
        <v>12</v>
      </c>
      <c r="F325" s="13" t="n">
        <v>11</v>
      </c>
      <c r="G325" s="13">
        <f>E325-F325</f>
        <v/>
      </c>
      <c r="H325" s="21">
        <f>IF(E325&gt;0, F325/E325, 0)</f>
        <v/>
      </c>
      <c r="I325" s="36" t="inlineStr">
        <is>
          <t>Pendiente</t>
        </is>
      </c>
    </row>
    <row r="326" ht="20" customHeight="1">
      <c r="A326" s="16" t="inlineStr">
        <is>
          <t>17/09/2026</t>
        </is>
      </c>
      <c r="B326" s="34" t="n">
        <v>3683</v>
      </c>
      <c r="C326" s="18" t="inlineStr">
        <is>
          <t>FABIANA</t>
        </is>
      </c>
      <c r="D326" s="18" t="inlineStr">
        <is>
          <t>MORO</t>
        </is>
      </c>
      <c r="E326" s="19" t="n">
        <v>12</v>
      </c>
      <c r="F326" s="19" t="n">
        <v>0</v>
      </c>
      <c r="G326" s="19">
        <f>E326-F326</f>
        <v/>
      </c>
      <c r="H326" s="35">
        <f>IF(E326&gt;0, F326/E326, 0)</f>
        <v/>
      </c>
      <c r="I326" s="36" t="inlineStr">
        <is>
          <t>Pendiente</t>
        </is>
      </c>
    </row>
    <row r="327" ht="20" customHeight="1">
      <c r="A327" s="10" t="inlineStr">
        <is>
          <t>17/09/2026</t>
        </is>
      </c>
      <c r="B327" s="32" t="n">
        <v>3684</v>
      </c>
      <c r="C327" s="12" t="inlineStr">
        <is>
          <t>FABIANA</t>
        </is>
      </c>
      <c r="D327" s="12" t="inlineStr">
        <is>
          <t>MORO</t>
        </is>
      </c>
      <c r="E327" s="13" t="n">
        <v>12</v>
      </c>
      <c r="F327" s="13" t="n">
        <v>0</v>
      </c>
      <c r="G327" s="13">
        <f>E327-F327</f>
        <v/>
      </c>
      <c r="H327" s="21">
        <f>IF(E327&gt;0, F327/E327, 0)</f>
        <v/>
      </c>
      <c r="I327" s="36" t="inlineStr">
        <is>
          <t>Pendiente</t>
        </is>
      </c>
    </row>
    <row r="328" ht="20" customHeight="1">
      <c r="A328" s="16" t="inlineStr">
        <is>
          <t>17/09/2026</t>
        </is>
      </c>
      <c r="B328" s="34" t="n">
        <v>3687</v>
      </c>
      <c r="C328" s="18" t="inlineStr">
        <is>
          <t>MICAELA</t>
        </is>
      </c>
      <c r="D328" s="18" t="inlineStr">
        <is>
          <t>VERDE MENTA</t>
        </is>
      </c>
      <c r="E328" s="19" t="n">
        <v>12</v>
      </c>
      <c r="F328" s="19" t="n">
        <v>0</v>
      </c>
      <c r="G328" s="19">
        <f>E328-F328</f>
        <v/>
      </c>
      <c r="H328" s="35">
        <f>IF(E328&gt;0, F328/E328, 0)</f>
        <v/>
      </c>
      <c r="I328" s="36" t="inlineStr">
        <is>
          <t>Pendiente</t>
        </is>
      </c>
    </row>
    <row r="329" ht="20" customHeight="1">
      <c r="A329" s="10" t="inlineStr">
        <is>
          <t>17/09/2026</t>
        </is>
      </c>
      <c r="B329" s="32" t="n">
        <v>3688</v>
      </c>
      <c r="C329" s="12" t="inlineStr">
        <is>
          <t>MICAELA</t>
        </is>
      </c>
      <c r="D329" s="12" t="inlineStr">
        <is>
          <t>VERDE MENTA</t>
        </is>
      </c>
      <c r="E329" s="13" t="n">
        <v>12</v>
      </c>
      <c r="F329" s="13" t="n">
        <v>0</v>
      </c>
      <c r="G329" s="13">
        <f>E329-F329</f>
        <v/>
      </c>
      <c r="H329" s="21">
        <f>IF(E329&gt;0, F329/E329, 0)</f>
        <v/>
      </c>
      <c r="I329" s="36" t="inlineStr">
        <is>
          <t>Pendiente</t>
        </is>
      </c>
    </row>
    <row r="330" ht="20" customHeight="1">
      <c r="A330" s="16" t="inlineStr">
        <is>
          <t>17/09/2026</t>
        </is>
      </c>
      <c r="B330" s="34" t="n">
        <v>3689</v>
      </c>
      <c r="C330" s="18" t="inlineStr">
        <is>
          <t>MICAELA</t>
        </is>
      </c>
      <c r="D330" s="18" t="inlineStr">
        <is>
          <t>VERDE MENTA</t>
        </is>
      </c>
      <c r="E330" s="19" t="n">
        <v>12</v>
      </c>
      <c r="F330" s="19" t="n">
        <v>0</v>
      </c>
      <c r="G330" s="19">
        <f>E330-F330</f>
        <v/>
      </c>
      <c r="H330" s="35">
        <f>IF(E330&gt;0, F330/E330, 0)</f>
        <v/>
      </c>
      <c r="I330" s="36" t="inlineStr">
        <is>
          <t>Pendiente</t>
        </is>
      </c>
    </row>
    <row r="331" ht="20" customHeight="1">
      <c r="A331" s="10" t="inlineStr">
        <is>
          <t>17/09/2026</t>
        </is>
      </c>
      <c r="B331" s="32" t="n">
        <v>3690</v>
      </c>
      <c r="C331" s="12" t="inlineStr">
        <is>
          <t>ZOE</t>
        </is>
      </c>
      <c r="D331" s="12" t="inlineStr">
        <is>
          <t>BEIGE</t>
        </is>
      </c>
      <c r="E331" s="13" t="n">
        <v>12</v>
      </c>
      <c r="F331" s="13" t="n">
        <v>0</v>
      </c>
      <c r="G331" s="13">
        <f>E331-F331</f>
        <v/>
      </c>
      <c r="H331" s="21">
        <f>IF(E331&gt;0, F331/E331, 0)</f>
        <v/>
      </c>
      <c r="I331" s="36" t="inlineStr">
        <is>
          <t>Pendiente</t>
        </is>
      </c>
    </row>
    <row r="332" ht="20" customHeight="1">
      <c r="A332" s="16" t="inlineStr">
        <is>
          <t>17/09/2026</t>
        </is>
      </c>
      <c r="B332" s="34" t="n">
        <v>3691</v>
      </c>
      <c r="C332" s="18" t="inlineStr">
        <is>
          <t>ZOE</t>
        </is>
      </c>
      <c r="D332" s="18" t="inlineStr">
        <is>
          <t>BEIGE</t>
        </is>
      </c>
      <c r="E332" s="19" t="n">
        <v>12</v>
      </c>
      <c r="F332" s="19" t="n">
        <v>0</v>
      </c>
      <c r="G332" s="19">
        <f>E332-F332</f>
        <v/>
      </c>
      <c r="H332" s="35">
        <f>IF(E332&gt;0, F332/E332, 0)</f>
        <v/>
      </c>
      <c r="I332" s="36" t="inlineStr">
        <is>
          <t>Pendiente</t>
        </is>
      </c>
    </row>
    <row r="333" ht="20" customHeight="1">
      <c r="A333" s="10" t="inlineStr">
        <is>
          <t>17/09/2026</t>
        </is>
      </c>
      <c r="B333" s="32" t="n">
        <v>3692</v>
      </c>
      <c r="C333" s="12" t="inlineStr">
        <is>
          <t>ZOE</t>
        </is>
      </c>
      <c r="D333" s="12" t="inlineStr">
        <is>
          <t>BEIGE</t>
        </is>
      </c>
      <c r="E333" s="13" t="n">
        <v>12</v>
      </c>
      <c r="F333" s="13" t="n">
        <v>0</v>
      </c>
      <c r="G333" s="13">
        <f>E333-F333</f>
        <v/>
      </c>
      <c r="H333" s="21">
        <f>IF(E333&gt;0, F333/E333, 0)</f>
        <v/>
      </c>
      <c r="I333" s="36" t="inlineStr">
        <is>
          <t>Pendiente</t>
        </is>
      </c>
    </row>
    <row r="334" ht="20" customHeight="1">
      <c r="A334" s="16" t="inlineStr">
        <is>
          <t>17/09/2026</t>
        </is>
      </c>
      <c r="B334" s="34" t="n">
        <v>3693</v>
      </c>
      <c r="C334" s="18" t="inlineStr">
        <is>
          <t>ZOE</t>
        </is>
      </c>
      <c r="D334" s="18" t="inlineStr">
        <is>
          <t>BEIGE</t>
        </is>
      </c>
      <c r="E334" s="19" t="n">
        <v>12</v>
      </c>
      <c r="F334" s="19" t="n">
        <v>0</v>
      </c>
      <c r="G334" s="19">
        <f>E334-F334</f>
        <v/>
      </c>
      <c r="H334" s="35">
        <f>IF(E334&gt;0, F334/E334, 0)</f>
        <v/>
      </c>
      <c r="I334" s="36" t="inlineStr">
        <is>
          <t>Pendiente</t>
        </is>
      </c>
    </row>
    <row r="335" ht="20" customHeight="1">
      <c r="A335" s="10" t="inlineStr">
        <is>
          <t>17/09/2026</t>
        </is>
      </c>
      <c r="B335" s="32" t="n">
        <v>3694</v>
      </c>
      <c r="C335" s="12" t="inlineStr">
        <is>
          <t>ZOE</t>
        </is>
      </c>
      <c r="D335" s="12" t="inlineStr">
        <is>
          <t>BEIGE</t>
        </is>
      </c>
      <c r="E335" s="13" t="n">
        <v>12</v>
      </c>
      <c r="F335" s="13" t="n">
        <v>0</v>
      </c>
      <c r="G335" s="13">
        <f>E335-F335</f>
        <v/>
      </c>
      <c r="H335" s="21">
        <f>IF(E335&gt;0, F335/E335, 0)</f>
        <v/>
      </c>
      <c r="I335" s="36" t="inlineStr">
        <is>
          <t>Pendiente</t>
        </is>
      </c>
    </row>
    <row r="336" ht="20" customHeight="1">
      <c r="A336" s="16" t="inlineStr">
        <is>
          <t>22/09/2026</t>
        </is>
      </c>
      <c r="B336" s="34" t="n">
        <v>3731</v>
      </c>
      <c r="C336" s="18" t="inlineStr">
        <is>
          <t>MAFER</t>
        </is>
      </c>
      <c r="D336" s="18" t="inlineStr">
        <is>
          <t>BEIGE</t>
        </is>
      </c>
      <c r="E336" s="19" t="n">
        <v>12</v>
      </c>
      <c r="F336" s="19" t="n">
        <v>0</v>
      </c>
      <c r="G336" s="19">
        <f>E336-F336</f>
        <v/>
      </c>
      <c r="H336" s="35">
        <f>IF(E336&gt;0, F336/E336, 0)</f>
        <v/>
      </c>
      <c r="I336" s="36" t="inlineStr">
        <is>
          <t>Pendiente</t>
        </is>
      </c>
    </row>
    <row r="337" ht="20" customHeight="1">
      <c r="A337" s="10" t="inlineStr">
        <is>
          <t>22/09/2026</t>
        </is>
      </c>
      <c r="B337" s="32" t="n">
        <v>3732</v>
      </c>
      <c r="C337" s="12" t="inlineStr">
        <is>
          <t>MAFER</t>
        </is>
      </c>
      <c r="D337" s="12" t="inlineStr">
        <is>
          <t>BEIGE</t>
        </is>
      </c>
      <c r="E337" s="13" t="n">
        <v>12</v>
      </c>
      <c r="F337" s="13" t="n">
        <v>0</v>
      </c>
      <c r="G337" s="13">
        <f>E337-F337</f>
        <v/>
      </c>
      <c r="H337" s="21">
        <f>IF(E337&gt;0, F337/E337, 0)</f>
        <v/>
      </c>
      <c r="I337" s="36" t="inlineStr">
        <is>
          <t>Pendiente</t>
        </is>
      </c>
    </row>
    <row r="338" ht="20" customHeight="1">
      <c r="A338" s="16" t="inlineStr">
        <is>
          <t>22/09/2026</t>
        </is>
      </c>
      <c r="B338" s="34" t="n">
        <v>3733</v>
      </c>
      <c r="C338" s="18" t="inlineStr">
        <is>
          <t>MAFER</t>
        </is>
      </c>
      <c r="D338" s="18" t="inlineStr">
        <is>
          <t>BEIGE</t>
        </is>
      </c>
      <c r="E338" s="19" t="n">
        <v>12</v>
      </c>
      <c r="F338" s="19" t="n">
        <v>0</v>
      </c>
      <c r="G338" s="19">
        <f>E338-F338</f>
        <v/>
      </c>
      <c r="H338" s="35">
        <f>IF(E338&gt;0, F338/E338, 0)</f>
        <v/>
      </c>
      <c r="I338" s="36" t="inlineStr">
        <is>
          <t>Pendiente</t>
        </is>
      </c>
    </row>
    <row r="339" ht="20" customHeight="1">
      <c r="A339" s="10" t="inlineStr">
        <is>
          <t>22/09/2026</t>
        </is>
      </c>
      <c r="B339" s="32" t="n">
        <v>3734</v>
      </c>
      <c r="C339" s="12" t="inlineStr">
        <is>
          <t>MAFER</t>
        </is>
      </c>
      <c r="D339" s="12" t="inlineStr">
        <is>
          <t>BEIGE</t>
        </is>
      </c>
      <c r="E339" s="13" t="n">
        <v>12</v>
      </c>
      <c r="F339" s="13" t="n">
        <v>0</v>
      </c>
      <c r="G339" s="13">
        <f>E339-F339</f>
        <v/>
      </c>
      <c r="H339" s="21">
        <f>IF(E339&gt;0, F339/E339, 0)</f>
        <v/>
      </c>
      <c r="I339" s="36" t="inlineStr">
        <is>
          <t>Pendiente</t>
        </is>
      </c>
    </row>
    <row r="340" ht="20" customHeight="1">
      <c r="A340" s="16" t="inlineStr">
        <is>
          <t>22/09/2026</t>
        </is>
      </c>
      <c r="B340" s="34" t="n">
        <v>3735</v>
      </c>
      <c r="C340" s="18" t="inlineStr">
        <is>
          <t>MAFER</t>
        </is>
      </c>
      <c r="D340" s="18" t="inlineStr">
        <is>
          <t>BEIGE</t>
        </is>
      </c>
      <c r="E340" s="19" t="n">
        <v>12</v>
      </c>
      <c r="F340" s="19" t="n">
        <v>0</v>
      </c>
      <c r="G340" s="19">
        <f>E340-F340</f>
        <v/>
      </c>
      <c r="H340" s="35">
        <f>IF(E340&gt;0, F340/E340, 0)</f>
        <v/>
      </c>
      <c r="I340" s="36" t="inlineStr">
        <is>
          <t>Pendiente</t>
        </is>
      </c>
    </row>
    <row r="341" ht="20" customHeight="1">
      <c r="A341" s="10" t="inlineStr">
        <is>
          <t>22/09/2026</t>
        </is>
      </c>
      <c r="B341" s="32" t="n">
        <v>3736</v>
      </c>
      <c r="C341" s="12" t="inlineStr">
        <is>
          <t>MAFER</t>
        </is>
      </c>
      <c r="D341" s="12" t="inlineStr">
        <is>
          <t>BEIGE</t>
        </is>
      </c>
      <c r="E341" s="13" t="n">
        <v>12</v>
      </c>
      <c r="F341" s="13" t="n">
        <v>0</v>
      </c>
      <c r="G341" s="13">
        <f>E341-F341</f>
        <v/>
      </c>
      <c r="H341" s="21">
        <f>IF(E341&gt;0, F341/E341, 0)</f>
        <v/>
      </c>
      <c r="I341" s="36" t="inlineStr">
        <is>
          <t>Pendiente</t>
        </is>
      </c>
    </row>
    <row r="342" ht="20" customHeight="1">
      <c r="A342" s="16" t="inlineStr">
        <is>
          <t>22/09/2026</t>
        </is>
      </c>
      <c r="B342" s="34" t="n">
        <v>3695</v>
      </c>
      <c r="C342" s="18" t="inlineStr">
        <is>
          <t>MAFER</t>
        </is>
      </c>
      <c r="D342" s="18" t="inlineStr">
        <is>
          <t>VINO</t>
        </is>
      </c>
      <c r="E342" s="19" t="n">
        <v>12</v>
      </c>
      <c r="F342" s="19" t="n">
        <v>0</v>
      </c>
      <c r="G342" s="19">
        <f>E342-F342</f>
        <v/>
      </c>
      <c r="H342" s="35">
        <f>IF(E342&gt;0, F342/E342, 0)</f>
        <v/>
      </c>
      <c r="I342" s="36" t="inlineStr">
        <is>
          <t>Pendiente</t>
        </is>
      </c>
    </row>
    <row r="343" ht="20" customHeight="1">
      <c r="A343" s="10" t="inlineStr">
        <is>
          <t>22/09/2026</t>
        </is>
      </c>
      <c r="B343" s="32" t="n">
        <v>3696</v>
      </c>
      <c r="C343" s="12" t="inlineStr">
        <is>
          <t>MAFER</t>
        </is>
      </c>
      <c r="D343" s="12" t="inlineStr">
        <is>
          <t>VINO</t>
        </is>
      </c>
      <c r="E343" s="13" t="n">
        <v>12</v>
      </c>
      <c r="F343" s="13" t="n">
        <v>0</v>
      </c>
      <c r="G343" s="13">
        <f>E343-F343</f>
        <v/>
      </c>
      <c r="H343" s="21">
        <f>IF(E343&gt;0, F343/E343, 0)</f>
        <v/>
      </c>
      <c r="I343" s="36" t="inlineStr">
        <is>
          <t>Pendiente</t>
        </is>
      </c>
    </row>
    <row r="344" ht="20" customHeight="1">
      <c r="A344" s="16" t="inlineStr">
        <is>
          <t>22/09/2026</t>
        </is>
      </c>
      <c r="B344" s="34" t="n">
        <v>3697</v>
      </c>
      <c r="C344" s="18" t="inlineStr">
        <is>
          <t>MAFER</t>
        </is>
      </c>
      <c r="D344" s="18" t="inlineStr">
        <is>
          <t>VINO</t>
        </is>
      </c>
      <c r="E344" s="19" t="n">
        <v>12</v>
      </c>
      <c r="F344" s="19" t="n">
        <v>0</v>
      </c>
      <c r="G344" s="19">
        <f>E344-F344</f>
        <v/>
      </c>
      <c r="H344" s="35">
        <f>IF(E344&gt;0, F344/E344, 0)</f>
        <v/>
      </c>
      <c r="I344" s="36" t="inlineStr">
        <is>
          <t>Pendiente</t>
        </is>
      </c>
    </row>
    <row r="345" ht="20" customHeight="1">
      <c r="A345" s="10" t="inlineStr">
        <is>
          <t>22/09/2026</t>
        </is>
      </c>
      <c r="B345" s="32" t="n">
        <v>3698</v>
      </c>
      <c r="C345" s="12" t="inlineStr">
        <is>
          <t>MAFER</t>
        </is>
      </c>
      <c r="D345" s="12" t="inlineStr">
        <is>
          <t>VINO</t>
        </is>
      </c>
      <c r="E345" s="13" t="n">
        <v>12</v>
      </c>
      <c r="F345" s="13" t="n">
        <v>0</v>
      </c>
      <c r="G345" s="13">
        <f>E345-F345</f>
        <v/>
      </c>
      <c r="H345" s="21">
        <f>IF(E345&gt;0, F345/E345, 0)</f>
        <v/>
      </c>
      <c r="I345" s="36" t="inlineStr">
        <is>
          <t>Pendiente</t>
        </is>
      </c>
    </row>
    <row r="346" ht="20" customHeight="1">
      <c r="A346" s="16" t="inlineStr">
        <is>
          <t>22/09/2026</t>
        </is>
      </c>
      <c r="B346" s="34" t="n">
        <v>3699</v>
      </c>
      <c r="C346" s="18" t="inlineStr">
        <is>
          <t>MAFER</t>
        </is>
      </c>
      <c r="D346" s="18" t="inlineStr">
        <is>
          <t>VINO</t>
        </is>
      </c>
      <c r="E346" s="19" t="n">
        <v>12</v>
      </c>
      <c r="F346" s="19" t="n">
        <v>0</v>
      </c>
      <c r="G346" s="19">
        <f>E346-F346</f>
        <v/>
      </c>
      <c r="H346" s="35">
        <f>IF(E346&gt;0, F346/E346, 0)</f>
        <v/>
      </c>
      <c r="I346" s="36" t="inlineStr">
        <is>
          <t>Pendiente</t>
        </is>
      </c>
    </row>
    <row r="347" ht="20" customHeight="1">
      <c r="A347" s="10" t="inlineStr">
        <is>
          <t>22/09/2026</t>
        </is>
      </c>
      <c r="B347" s="32" t="n">
        <v>3700</v>
      </c>
      <c r="C347" s="12" t="inlineStr">
        <is>
          <t>MAFER</t>
        </is>
      </c>
      <c r="D347" s="12" t="inlineStr">
        <is>
          <t>VINO</t>
        </is>
      </c>
      <c r="E347" s="13" t="n">
        <v>12</v>
      </c>
      <c r="F347" s="13" t="n">
        <v>0</v>
      </c>
      <c r="G347" s="13">
        <f>E347-F347</f>
        <v/>
      </c>
      <c r="H347" s="21">
        <f>IF(E347&gt;0, F347/E347, 0)</f>
        <v/>
      </c>
      <c r="I347" s="36" t="inlineStr">
        <is>
          <t>Pendiente</t>
        </is>
      </c>
    </row>
    <row r="348" ht="20" customHeight="1">
      <c r="A348" s="16" t="inlineStr">
        <is>
          <t>22/09/2026</t>
        </is>
      </c>
      <c r="B348" s="34" t="n">
        <v>3719</v>
      </c>
      <c r="C348" s="18" t="inlineStr">
        <is>
          <t>MICAELA</t>
        </is>
      </c>
      <c r="D348" s="18" t="inlineStr">
        <is>
          <t>CELESTE BB</t>
        </is>
      </c>
      <c r="E348" s="19" t="n">
        <v>12</v>
      </c>
      <c r="F348" s="19" t="n">
        <v>0</v>
      </c>
      <c r="G348" s="19">
        <f>E348-F348</f>
        <v/>
      </c>
      <c r="H348" s="35">
        <f>IF(E348&gt;0, F348/E348, 0)</f>
        <v/>
      </c>
      <c r="I348" s="36" t="inlineStr">
        <is>
          <t>Pendiente</t>
        </is>
      </c>
    </row>
    <row r="349" ht="20" customHeight="1">
      <c r="A349" s="10" t="inlineStr">
        <is>
          <t>22/09/2026</t>
        </is>
      </c>
      <c r="B349" s="32" t="n">
        <v>3720</v>
      </c>
      <c r="C349" s="12" t="inlineStr">
        <is>
          <t>MICAELA</t>
        </is>
      </c>
      <c r="D349" s="12" t="inlineStr">
        <is>
          <t>CELESTE BB</t>
        </is>
      </c>
      <c r="E349" s="13" t="n">
        <v>12</v>
      </c>
      <c r="F349" s="13" t="n">
        <v>0</v>
      </c>
      <c r="G349" s="13">
        <f>E349-F349</f>
        <v/>
      </c>
      <c r="H349" s="21">
        <f>IF(E349&gt;0, F349/E349, 0)</f>
        <v/>
      </c>
      <c r="I349" s="36" t="inlineStr">
        <is>
          <t>Pendiente</t>
        </is>
      </c>
    </row>
    <row r="350" ht="20" customHeight="1">
      <c r="A350" s="16" t="inlineStr">
        <is>
          <t>22/09/2026</t>
        </is>
      </c>
      <c r="B350" s="34" t="n">
        <v>3721</v>
      </c>
      <c r="C350" s="18" t="inlineStr">
        <is>
          <t>MICAELA</t>
        </is>
      </c>
      <c r="D350" s="18" t="inlineStr">
        <is>
          <t>CELESTE BB</t>
        </is>
      </c>
      <c r="E350" s="19" t="n">
        <v>12</v>
      </c>
      <c r="F350" s="19" t="n">
        <v>0</v>
      </c>
      <c r="G350" s="19">
        <f>E350-F350</f>
        <v/>
      </c>
      <c r="H350" s="35">
        <f>IF(E350&gt;0, F350/E350, 0)</f>
        <v/>
      </c>
      <c r="I350" s="36" t="inlineStr">
        <is>
          <t>Pendiente</t>
        </is>
      </c>
    </row>
    <row r="351" ht="20" customHeight="1">
      <c r="A351" s="10" t="inlineStr">
        <is>
          <t>22/09/2026</t>
        </is>
      </c>
      <c r="B351" s="32" t="n">
        <v>3722</v>
      </c>
      <c r="C351" s="12" t="inlineStr">
        <is>
          <t>MICAELA</t>
        </is>
      </c>
      <c r="D351" s="12" t="inlineStr">
        <is>
          <t>CELESTE BB</t>
        </is>
      </c>
      <c r="E351" s="13" t="n">
        <v>12</v>
      </c>
      <c r="F351" s="13" t="n">
        <v>0</v>
      </c>
      <c r="G351" s="13">
        <f>E351-F351</f>
        <v/>
      </c>
      <c r="H351" s="21">
        <f>IF(E351&gt;0, F351/E351, 0)</f>
        <v/>
      </c>
      <c r="I351" s="36" t="inlineStr">
        <is>
          <t>Pendiente</t>
        </is>
      </c>
    </row>
    <row r="352" ht="20" customHeight="1">
      <c r="A352" s="16" t="inlineStr">
        <is>
          <t>22/09/2026</t>
        </is>
      </c>
      <c r="B352" s="34" t="n">
        <v>3727</v>
      </c>
      <c r="C352" s="18" t="inlineStr">
        <is>
          <t>MICAELA</t>
        </is>
      </c>
      <c r="D352" s="18" t="inlineStr">
        <is>
          <t>LILA</t>
        </is>
      </c>
      <c r="E352" s="19" t="n">
        <v>12</v>
      </c>
      <c r="F352" s="19" t="n">
        <v>0</v>
      </c>
      <c r="G352" s="19">
        <f>E352-F352</f>
        <v/>
      </c>
      <c r="H352" s="35">
        <f>IF(E352&gt;0, F352/E352, 0)</f>
        <v/>
      </c>
      <c r="I352" s="36" t="inlineStr">
        <is>
          <t>Pendiente</t>
        </is>
      </c>
    </row>
    <row r="353" ht="20" customHeight="1">
      <c r="A353" s="10" t="inlineStr">
        <is>
          <t>22/09/2026</t>
        </is>
      </c>
      <c r="B353" s="32" t="n">
        <v>3728</v>
      </c>
      <c r="C353" s="12" t="inlineStr">
        <is>
          <t>MICAELA</t>
        </is>
      </c>
      <c r="D353" s="12" t="inlineStr">
        <is>
          <t>LILA</t>
        </is>
      </c>
      <c r="E353" s="13" t="n">
        <v>12</v>
      </c>
      <c r="F353" s="13" t="n">
        <v>0</v>
      </c>
      <c r="G353" s="13">
        <f>E353-F353</f>
        <v/>
      </c>
      <c r="H353" s="21">
        <f>IF(E353&gt;0, F353/E353, 0)</f>
        <v/>
      </c>
      <c r="I353" s="36" t="inlineStr">
        <is>
          <t>Pendiente</t>
        </is>
      </c>
    </row>
    <row r="354" ht="20" customHeight="1">
      <c r="A354" s="16" t="inlineStr">
        <is>
          <t>22/09/2026</t>
        </is>
      </c>
      <c r="B354" s="34" t="n">
        <v>3729</v>
      </c>
      <c r="C354" s="18" t="inlineStr">
        <is>
          <t>MICAELA</t>
        </is>
      </c>
      <c r="D354" s="18" t="inlineStr">
        <is>
          <t>LILA</t>
        </is>
      </c>
      <c r="E354" s="19" t="n">
        <v>12</v>
      </c>
      <c r="F354" s="19" t="n">
        <v>0</v>
      </c>
      <c r="G354" s="19">
        <f>E354-F354</f>
        <v/>
      </c>
      <c r="H354" s="35">
        <f>IF(E354&gt;0, F354/E354, 0)</f>
        <v/>
      </c>
      <c r="I354" s="36" t="inlineStr">
        <is>
          <t>Pendiente</t>
        </is>
      </c>
    </row>
    <row r="355" ht="20" customHeight="1">
      <c r="A355" s="10" t="inlineStr">
        <is>
          <t>22/09/2026</t>
        </is>
      </c>
      <c r="B355" s="32" t="n">
        <v>3730</v>
      </c>
      <c r="C355" s="12" t="inlineStr">
        <is>
          <t>MICAELA</t>
        </is>
      </c>
      <c r="D355" s="12" t="inlineStr">
        <is>
          <t>LILA</t>
        </is>
      </c>
      <c r="E355" s="13" t="n">
        <v>12</v>
      </c>
      <c r="F355" s="13" t="n">
        <v>0</v>
      </c>
      <c r="G355" s="13">
        <f>E355-F355</f>
        <v/>
      </c>
      <c r="H355" s="21">
        <f>IF(E355&gt;0, F355/E355, 0)</f>
        <v/>
      </c>
      <c r="I355" s="36" t="inlineStr">
        <is>
          <t>Pendiente</t>
        </is>
      </c>
    </row>
    <row r="356" ht="20" customHeight="1">
      <c r="A356" s="16" t="inlineStr">
        <is>
          <t>22/09/2026</t>
        </is>
      </c>
      <c r="B356" s="34" t="n">
        <v>3715</v>
      </c>
      <c r="C356" s="18" t="inlineStr">
        <is>
          <t>MICAELA</t>
        </is>
      </c>
      <c r="D356" s="18" t="inlineStr">
        <is>
          <t>MANTEQUILLA</t>
        </is>
      </c>
      <c r="E356" s="19" t="n">
        <v>12</v>
      </c>
      <c r="F356" s="19" t="n">
        <v>0</v>
      </c>
      <c r="G356" s="19">
        <f>E356-F356</f>
        <v/>
      </c>
      <c r="H356" s="35">
        <f>IF(E356&gt;0, F356/E356, 0)</f>
        <v/>
      </c>
      <c r="I356" s="36" t="inlineStr">
        <is>
          <t>Pendiente</t>
        </is>
      </c>
    </row>
    <row r="357" ht="20" customHeight="1">
      <c r="A357" s="10" t="inlineStr">
        <is>
          <t>22/09/2026</t>
        </is>
      </c>
      <c r="B357" s="32" t="n">
        <v>3716</v>
      </c>
      <c r="C357" s="12" t="inlineStr">
        <is>
          <t>MICAELA</t>
        </is>
      </c>
      <c r="D357" s="12" t="inlineStr">
        <is>
          <t>MANTEQUILLA</t>
        </is>
      </c>
      <c r="E357" s="13" t="n">
        <v>12</v>
      </c>
      <c r="F357" s="13" t="n">
        <v>0</v>
      </c>
      <c r="G357" s="13">
        <f>E357-F357</f>
        <v/>
      </c>
      <c r="H357" s="21">
        <f>IF(E357&gt;0, F357/E357, 0)</f>
        <v/>
      </c>
      <c r="I357" s="36" t="inlineStr">
        <is>
          <t>Pendiente</t>
        </is>
      </c>
    </row>
    <row r="358" ht="20" customHeight="1">
      <c r="A358" s="16" t="inlineStr">
        <is>
          <t>22/09/2026</t>
        </is>
      </c>
      <c r="B358" s="34" t="n">
        <v>3717</v>
      </c>
      <c r="C358" s="18" t="inlineStr">
        <is>
          <t>MICAELA</t>
        </is>
      </c>
      <c r="D358" s="18" t="inlineStr">
        <is>
          <t>MANTEQUILLA</t>
        </is>
      </c>
      <c r="E358" s="19" t="n">
        <v>12</v>
      </c>
      <c r="F358" s="19" t="n">
        <v>0</v>
      </c>
      <c r="G358" s="19">
        <f>E358-F358</f>
        <v/>
      </c>
      <c r="H358" s="35">
        <f>IF(E358&gt;0, F358/E358, 0)</f>
        <v/>
      </c>
      <c r="I358" s="36" t="inlineStr">
        <is>
          <t>Pendiente</t>
        </is>
      </c>
    </row>
    <row r="359" ht="20" customHeight="1">
      <c r="A359" s="10" t="inlineStr">
        <is>
          <t>22/09/2026</t>
        </is>
      </c>
      <c r="B359" s="32" t="n">
        <v>3718</v>
      </c>
      <c r="C359" s="12" t="inlineStr">
        <is>
          <t>MICAELA</t>
        </is>
      </c>
      <c r="D359" s="12" t="inlineStr">
        <is>
          <t>MANTEQUILLA</t>
        </is>
      </c>
      <c r="E359" s="13" t="n">
        <v>12</v>
      </c>
      <c r="F359" s="13" t="n">
        <v>0</v>
      </c>
      <c r="G359" s="13">
        <f>E359-F359</f>
        <v/>
      </c>
      <c r="H359" s="21">
        <f>IF(E359&gt;0, F359/E359, 0)</f>
        <v/>
      </c>
      <c r="I359" s="36" t="inlineStr">
        <is>
          <t>Pendiente</t>
        </is>
      </c>
    </row>
    <row r="360" ht="20" customHeight="1">
      <c r="A360" s="16" t="inlineStr">
        <is>
          <t>22/09/2026</t>
        </is>
      </c>
      <c r="B360" s="34" t="n">
        <v>3723</v>
      </c>
      <c r="C360" s="18" t="inlineStr">
        <is>
          <t>MICAELA</t>
        </is>
      </c>
      <c r="D360" s="18" t="inlineStr">
        <is>
          <t>MELON</t>
        </is>
      </c>
      <c r="E360" s="19" t="n">
        <v>12</v>
      </c>
      <c r="F360" s="19" t="n">
        <v>0</v>
      </c>
      <c r="G360" s="19">
        <f>E360-F360</f>
        <v/>
      </c>
      <c r="H360" s="35">
        <f>IF(E360&gt;0, F360/E360, 0)</f>
        <v/>
      </c>
      <c r="I360" s="36" t="inlineStr">
        <is>
          <t>Pendiente</t>
        </is>
      </c>
    </row>
    <row r="361" ht="20" customHeight="1">
      <c r="A361" s="10" t="inlineStr">
        <is>
          <t>22/09/2026</t>
        </is>
      </c>
      <c r="B361" s="32" t="n">
        <v>3724</v>
      </c>
      <c r="C361" s="12" t="inlineStr">
        <is>
          <t>MICAELA</t>
        </is>
      </c>
      <c r="D361" s="12" t="inlineStr">
        <is>
          <t>MELON</t>
        </is>
      </c>
      <c r="E361" s="13" t="n">
        <v>12</v>
      </c>
      <c r="F361" s="13" t="n">
        <v>0</v>
      </c>
      <c r="G361" s="13">
        <f>E361-F361</f>
        <v/>
      </c>
      <c r="H361" s="21">
        <f>IF(E361&gt;0, F361/E361, 0)</f>
        <v/>
      </c>
      <c r="I361" s="36" t="inlineStr">
        <is>
          <t>Pendiente</t>
        </is>
      </c>
    </row>
    <row r="362" ht="20" customHeight="1">
      <c r="A362" s="16" t="inlineStr">
        <is>
          <t>22/09/2026</t>
        </is>
      </c>
      <c r="B362" s="34" t="n">
        <v>3725</v>
      </c>
      <c r="C362" s="18" t="inlineStr">
        <is>
          <t>MICAELA</t>
        </is>
      </c>
      <c r="D362" s="18" t="inlineStr">
        <is>
          <t>MELON</t>
        </is>
      </c>
      <c r="E362" s="19" t="n">
        <v>12</v>
      </c>
      <c r="F362" s="19" t="n">
        <v>0</v>
      </c>
      <c r="G362" s="19">
        <f>E362-F362</f>
        <v/>
      </c>
      <c r="H362" s="35">
        <f>IF(E362&gt;0, F362/E362, 0)</f>
        <v/>
      </c>
      <c r="I362" s="36" t="inlineStr">
        <is>
          <t>Pendiente</t>
        </is>
      </c>
    </row>
    <row r="363" ht="20" customHeight="1">
      <c r="A363" s="10" t="inlineStr">
        <is>
          <t>22/09/2026</t>
        </is>
      </c>
      <c r="B363" s="32" t="n">
        <v>3726</v>
      </c>
      <c r="C363" s="12" t="inlineStr">
        <is>
          <t>MICAELA</t>
        </is>
      </c>
      <c r="D363" s="12" t="inlineStr">
        <is>
          <t>MELON</t>
        </is>
      </c>
      <c r="E363" s="13" t="n">
        <v>12</v>
      </c>
      <c r="F363" s="13" t="n">
        <v>0</v>
      </c>
      <c r="G363" s="13">
        <f>E363-F363</f>
        <v/>
      </c>
      <c r="H363" s="21">
        <f>IF(E363&gt;0, F363/E363, 0)</f>
        <v/>
      </c>
      <c r="I363" s="36" t="inlineStr">
        <is>
          <t>Pendiente</t>
        </is>
      </c>
    </row>
    <row r="364" ht="20" customHeight="1">
      <c r="A364" s="16" t="inlineStr">
        <is>
          <t>22/09/2026</t>
        </is>
      </c>
      <c r="B364" s="34" t="n">
        <v>3711</v>
      </c>
      <c r="C364" s="18" t="inlineStr">
        <is>
          <t>MICAELA</t>
        </is>
      </c>
      <c r="D364" s="18" t="inlineStr">
        <is>
          <t>ROSA</t>
        </is>
      </c>
      <c r="E364" s="19" t="n">
        <v>12</v>
      </c>
      <c r="F364" s="19" t="n">
        <v>0</v>
      </c>
      <c r="G364" s="19">
        <f>E364-F364</f>
        <v/>
      </c>
      <c r="H364" s="35">
        <f>IF(E364&gt;0, F364/E364, 0)</f>
        <v/>
      </c>
      <c r="I364" s="36" t="inlineStr">
        <is>
          <t>Pendiente</t>
        </is>
      </c>
    </row>
    <row r="365" ht="20" customHeight="1">
      <c r="A365" s="10" t="inlineStr">
        <is>
          <t>22/09/2026</t>
        </is>
      </c>
      <c r="B365" s="32" t="n">
        <v>3712</v>
      </c>
      <c r="C365" s="12" t="inlineStr">
        <is>
          <t>MICAELA</t>
        </is>
      </c>
      <c r="D365" s="12" t="inlineStr">
        <is>
          <t>ROSA</t>
        </is>
      </c>
      <c r="E365" s="13" t="n">
        <v>12</v>
      </c>
      <c r="F365" s="13" t="n">
        <v>0</v>
      </c>
      <c r="G365" s="13">
        <f>E365-F365</f>
        <v/>
      </c>
      <c r="H365" s="21">
        <f>IF(E365&gt;0, F365/E365, 0)</f>
        <v/>
      </c>
      <c r="I365" s="36" t="inlineStr">
        <is>
          <t>Pendiente</t>
        </is>
      </c>
    </row>
    <row r="366" ht="20" customHeight="1">
      <c r="A366" s="16" t="inlineStr">
        <is>
          <t>22/09/2026</t>
        </is>
      </c>
      <c r="B366" s="34" t="n">
        <v>3713</v>
      </c>
      <c r="C366" s="18" t="inlineStr">
        <is>
          <t>MICAELA</t>
        </is>
      </c>
      <c r="D366" s="18" t="inlineStr">
        <is>
          <t>ROSA</t>
        </is>
      </c>
      <c r="E366" s="19" t="n">
        <v>12</v>
      </c>
      <c r="F366" s="19" t="n">
        <v>0</v>
      </c>
      <c r="G366" s="19">
        <f>E366-F366</f>
        <v/>
      </c>
      <c r="H366" s="35">
        <f>IF(E366&gt;0, F366/E366, 0)</f>
        <v/>
      </c>
      <c r="I366" s="36" t="inlineStr">
        <is>
          <t>Pendiente</t>
        </is>
      </c>
    </row>
    <row r="367" ht="20" customHeight="1">
      <c r="A367" s="10" t="inlineStr">
        <is>
          <t>22/09/2026</t>
        </is>
      </c>
      <c r="B367" s="32" t="n">
        <v>3714</v>
      </c>
      <c r="C367" s="12" t="inlineStr">
        <is>
          <t>MICAELA</t>
        </is>
      </c>
      <c r="D367" s="12" t="inlineStr">
        <is>
          <t>ROSA</t>
        </is>
      </c>
      <c r="E367" s="13" t="n">
        <v>12</v>
      </c>
      <c r="F367" s="13" t="n">
        <v>0</v>
      </c>
      <c r="G367" s="13">
        <f>E367-F367</f>
        <v/>
      </c>
      <c r="H367" s="21">
        <f>IF(E367&gt;0, F367/E367, 0)</f>
        <v/>
      </c>
      <c r="I367" s="36" t="inlineStr">
        <is>
          <t>Pendiente</t>
        </is>
      </c>
    </row>
    <row r="368" ht="20" customHeight="1">
      <c r="A368" s="16" t="inlineStr">
        <is>
          <t>22/09/2026</t>
        </is>
      </c>
      <c r="B368" s="34" t="n">
        <v>3701</v>
      </c>
      <c r="C368" s="18" t="inlineStr">
        <is>
          <t>MICAELA</t>
        </is>
      </c>
      <c r="D368" s="18" t="inlineStr">
        <is>
          <t>VINO</t>
        </is>
      </c>
      <c r="E368" s="19" t="n">
        <v>12</v>
      </c>
      <c r="F368" s="19" t="n">
        <v>0</v>
      </c>
      <c r="G368" s="19">
        <f>E368-F368</f>
        <v/>
      </c>
      <c r="H368" s="35">
        <f>IF(E368&gt;0, F368/E368, 0)</f>
        <v/>
      </c>
      <c r="I368" s="36" t="inlineStr">
        <is>
          <t>Pendiente</t>
        </is>
      </c>
    </row>
    <row r="369" ht="20" customHeight="1">
      <c r="A369" s="10" t="inlineStr">
        <is>
          <t>22/09/2026</t>
        </is>
      </c>
      <c r="B369" s="32" t="n">
        <v>3702</v>
      </c>
      <c r="C369" s="12" t="inlineStr">
        <is>
          <t>MICAELA</t>
        </is>
      </c>
      <c r="D369" s="12" t="inlineStr">
        <is>
          <t>VINO</t>
        </is>
      </c>
      <c r="E369" s="13" t="n">
        <v>12</v>
      </c>
      <c r="F369" s="13" t="n">
        <v>0</v>
      </c>
      <c r="G369" s="13">
        <f>E369-F369</f>
        <v/>
      </c>
      <c r="H369" s="21">
        <f>IF(E369&gt;0, F369/E369, 0)</f>
        <v/>
      </c>
      <c r="I369" s="36" t="inlineStr">
        <is>
          <t>Pendiente</t>
        </is>
      </c>
    </row>
    <row r="370" ht="20" customHeight="1">
      <c r="A370" s="16" t="inlineStr">
        <is>
          <t>22/09/2026</t>
        </is>
      </c>
      <c r="B370" s="34" t="n">
        <v>3703</v>
      </c>
      <c r="C370" s="18" t="inlineStr">
        <is>
          <t>MICAELA</t>
        </is>
      </c>
      <c r="D370" s="18" t="inlineStr">
        <is>
          <t>VINO</t>
        </is>
      </c>
      <c r="E370" s="19" t="n">
        <v>12</v>
      </c>
      <c r="F370" s="19" t="n">
        <v>0</v>
      </c>
      <c r="G370" s="19">
        <f>E370-F370</f>
        <v/>
      </c>
      <c r="H370" s="35">
        <f>IF(E370&gt;0, F370/E370, 0)</f>
        <v/>
      </c>
      <c r="I370" s="36" t="inlineStr">
        <is>
          <t>Pendiente</t>
        </is>
      </c>
    </row>
    <row r="371" ht="20" customHeight="1">
      <c r="A371" s="10" t="inlineStr">
        <is>
          <t>22/09/2026</t>
        </is>
      </c>
      <c r="B371" s="32" t="n">
        <v>3704</v>
      </c>
      <c r="C371" s="12" t="inlineStr">
        <is>
          <t>MICAELA</t>
        </is>
      </c>
      <c r="D371" s="12" t="inlineStr">
        <is>
          <t>VINO</t>
        </is>
      </c>
      <c r="E371" s="13" t="n">
        <v>12</v>
      </c>
      <c r="F371" s="13" t="n">
        <v>0</v>
      </c>
      <c r="G371" s="13">
        <f>E371-F371</f>
        <v/>
      </c>
      <c r="H371" s="21">
        <f>IF(E371&gt;0, F371/E371, 0)</f>
        <v/>
      </c>
      <c r="I371" s="36" t="inlineStr">
        <is>
          <t>Pendiente</t>
        </is>
      </c>
    </row>
    <row r="372" ht="20" customHeight="1">
      <c r="A372" s="16" t="inlineStr">
        <is>
          <t>22/09/2026</t>
        </is>
      </c>
      <c r="B372" s="34" t="n">
        <v>3705</v>
      </c>
      <c r="C372" s="18" t="inlineStr">
        <is>
          <t>MICAELA</t>
        </is>
      </c>
      <c r="D372" s="18" t="inlineStr">
        <is>
          <t>VINO</t>
        </is>
      </c>
      <c r="E372" s="19" t="n">
        <v>12</v>
      </c>
      <c r="F372" s="19" t="n">
        <v>0</v>
      </c>
      <c r="G372" s="19">
        <f>E372-F372</f>
        <v/>
      </c>
      <c r="H372" s="35">
        <f>IF(E372&gt;0, F372/E372, 0)</f>
        <v/>
      </c>
      <c r="I372" s="36" t="inlineStr">
        <is>
          <t>Pendiente</t>
        </is>
      </c>
    </row>
    <row r="373" ht="20" customHeight="1">
      <c r="A373" s="10" t="inlineStr">
        <is>
          <t>22/09/2026</t>
        </is>
      </c>
      <c r="B373" s="32" t="n">
        <v>3706</v>
      </c>
      <c r="C373" s="12" t="inlineStr">
        <is>
          <t>MICAELA</t>
        </is>
      </c>
      <c r="D373" s="12" t="inlineStr">
        <is>
          <t>VINO</t>
        </is>
      </c>
      <c r="E373" s="13" t="n">
        <v>12</v>
      </c>
      <c r="F373" s="13" t="n">
        <v>0</v>
      </c>
      <c r="G373" s="13">
        <f>E373-F373</f>
        <v/>
      </c>
      <c r="H373" s="21">
        <f>IF(E373&gt;0, F373/E373, 0)</f>
        <v/>
      </c>
      <c r="I373" s="36" t="inlineStr">
        <is>
          <t>Pendiente</t>
        </is>
      </c>
    </row>
    <row r="374" ht="20" customHeight="1">
      <c r="A374" s="16" t="inlineStr">
        <is>
          <t>22/09/2026</t>
        </is>
      </c>
      <c r="B374" s="34" t="n">
        <v>3707</v>
      </c>
      <c r="C374" s="18" t="inlineStr">
        <is>
          <t>MICAELA</t>
        </is>
      </c>
      <c r="D374" s="18" t="inlineStr">
        <is>
          <t>VINO</t>
        </is>
      </c>
      <c r="E374" s="19" t="n">
        <v>12</v>
      </c>
      <c r="F374" s="19" t="n">
        <v>0</v>
      </c>
      <c r="G374" s="19">
        <f>E374-F374</f>
        <v/>
      </c>
      <c r="H374" s="35">
        <f>IF(E374&gt;0, F374/E374, 0)</f>
        <v/>
      </c>
      <c r="I374" s="36" t="inlineStr">
        <is>
          <t>Pendiente</t>
        </is>
      </c>
    </row>
    <row r="375" ht="20" customHeight="1">
      <c r="A375" s="10" t="inlineStr">
        <is>
          <t>22/09/2026</t>
        </is>
      </c>
      <c r="B375" s="32" t="n">
        <v>3708</v>
      </c>
      <c r="C375" s="12" t="inlineStr">
        <is>
          <t>MICAELA</t>
        </is>
      </c>
      <c r="D375" s="12" t="inlineStr">
        <is>
          <t>VINO</t>
        </is>
      </c>
      <c r="E375" s="13" t="n">
        <v>12</v>
      </c>
      <c r="F375" s="13" t="n">
        <v>0</v>
      </c>
      <c r="G375" s="13">
        <f>E375-F375</f>
        <v/>
      </c>
      <c r="H375" s="21">
        <f>IF(E375&gt;0, F375/E375, 0)</f>
        <v/>
      </c>
      <c r="I375" s="36" t="inlineStr">
        <is>
          <t>Pendiente</t>
        </is>
      </c>
    </row>
    <row r="376" ht="20" customHeight="1">
      <c r="A376" s="16" t="inlineStr">
        <is>
          <t>22/09/2026</t>
        </is>
      </c>
      <c r="B376" s="34" t="n">
        <v>3709</v>
      </c>
      <c r="C376" s="18" t="inlineStr">
        <is>
          <t>MICAELA</t>
        </is>
      </c>
      <c r="D376" s="18" t="inlineStr">
        <is>
          <t>VINO</t>
        </is>
      </c>
      <c r="E376" s="19" t="n">
        <v>12</v>
      </c>
      <c r="F376" s="19" t="n">
        <v>0</v>
      </c>
      <c r="G376" s="19">
        <f>E376-F376</f>
        <v/>
      </c>
      <c r="H376" s="35">
        <f>IF(E376&gt;0, F376/E376, 0)</f>
        <v/>
      </c>
      <c r="I376" s="36" t="inlineStr">
        <is>
          <t>Pendiente</t>
        </is>
      </c>
    </row>
    <row r="377" ht="20" customHeight="1">
      <c r="A377" s="10" t="inlineStr">
        <is>
          <t>22/09/2026</t>
        </is>
      </c>
      <c r="B377" s="32" t="n">
        <v>3710</v>
      </c>
      <c r="C377" s="12" t="inlineStr">
        <is>
          <t>MICAELA</t>
        </is>
      </c>
      <c r="D377" s="12" t="inlineStr">
        <is>
          <t>VINO</t>
        </is>
      </c>
      <c r="E377" s="13" t="n">
        <v>12</v>
      </c>
      <c r="F377" s="13" t="n">
        <v>0</v>
      </c>
      <c r="G377" s="13">
        <f>E377-F377</f>
        <v/>
      </c>
      <c r="H377" s="21">
        <f>IF(E377&gt;0, F377/E377, 0)</f>
        <v/>
      </c>
      <c r="I377" s="36" t="inlineStr">
        <is>
          <t>Pendiente</t>
        </is>
      </c>
    </row>
    <row r="378" ht="20" customHeight="1">
      <c r="A378" s="16" t="inlineStr">
        <is>
          <t>28/09/2026</t>
        </is>
      </c>
      <c r="B378" s="34" t="n">
        <v>3748</v>
      </c>
      <c r="C378" s="18" t="inlineStr">
        <is>
          <t>CARLOTA</t>
        </is>
      </c>
      <c r="D378" s="18" t="inlineStr">
        <is>
          <t>LEOPARDO</t>
        </is>
      </c>
      <c r="E378" s="19" t="n">
        <v>12</v>
      </c>
      <c r="F378" s="19" t="n">
        <v>0</v>
      </c>
      <c r="G378" s="19">
        <f>E378-F378</f>
        <v/>
      </c>
      <c r="H378" s="35">
        <f>IF(E378&gt;0, F378/E378, 0)</f>
        <v/>
      </c>
      <c r="I378" s="36" t="inlineStr">
        <is>
          <t>Pendiente</t>
        </is>
      </c>
    </row>
    <row r="379" ht="20" customHeight="1">
      <c r="A379" s="10" t="inlineStr">
        <is>
          <t>28/09/2026</t>
        </is>
      </c>
      <c r="B379" s="32" t="n">
        <v>3749</v>
      </c>
      <c r="C379" s="12" t="inlineStr">
        <is>
          <t>CRISTINA</t>
        </is>
      </c>
      <c r="D379" s="12" t="inlineStr">
        <is>
          <t>PLATA QUEMADA</t>
        </is>
      </c>
      <c r="E379" s="13" t="n">
        <v>6</v>
      </c>
      <c r="F379" s="13" t="n">
        <v>0</v>
      </c>
      <c r="G379" s="13">
        <f>E379-F379</f>
        <v/>
      </c>
      <c r="H379" s="21">
        <f>IF(E379&gt;0, F379/E379, 0)</f>
        <v/>
      </c>
      <c r="I379" s="36" t="inlineStr">
        <is>
          <t>Pendiente</t>
        </is>
      </c>
    </row>
    <row r="380" ht="20" customHeight="1">
      <c r="A380" s="16" t="inlineStr">
        <is>
          <t>28/09/2026</t>
        </is>
      </c>
      <c r="B380" s="34" t="n">
        <v>3745</v>
      </c>
      <c r="C380" s="18" t="inlineStr">
        <is>
          <t>FABIANA</t>
        </is>
      </c>
      <c r="D380" s="18" t="inlineStr">
        <is>
          <t>MORO</t>
        </is>
      </c>
      <c r="E380" s="19" t="n">
        <v>12</v>
      </c>
      <c r="F380" s="19" t="n">
        <v>0</v>
      </c>
      <c r="G380" s="19">
        <f>E380-F380</f>
        <v/>
      </c>
      <c r="H380" s="35">
        <f>IF(E380&gt;0, F380/E380, 0)</f>
        <v/>
      </c>
      <c r="I380" s="36" t="inlineStr">
        <is>
          <t>Pendiente</t>
        </is>
      </c>
    </row>
    <row r="381" ht="20" customHeight="1">
      <c r="A381" s="10" t="inlineStr">
        <is>
          <t>28/09/2026</t>
        </is>
      </c>
      <c r="B381" s="32" t="n">
        <v>3743</v>
      </c>
      <c r="C381" s="12" t="inlineStr">
        <is>
          <t>GRETA</t>
        </is>
      </c>
      <c r="D381" s="12" t="inlineStr">
        <is>
          <t>MARRON</t>
        </is>
      </c>
      <c r="E381" s="13" t="n">
        <v>12</v>
      </c>
      <c r="F381" s="13" t="n">
        <v>0</v>
      </c>
      <c r="G381" s="13">
        <f>E381-F381</f>
        <v/>
      </c>
      <c r="H381" s="21">
        <f>IF(E381&gt;0, F381/E381, 0)</f>
        <v/>
      </c>
      <c r="I381" s="36" t="inlineStr">
        <is>
          <t>Pendiente</t>
        </is>
      </c>
    </row>
    <row r="382" ht="20" customHeight="1">
      <c r="A382" s="16" t="inlineStr">
        <is>
          <t>28/09/2026</t>
        </is>
      </c>
      <c r="B382" s="34" t="n">
        <v>3744</v>
      </c>
      <c r="C382" s="18" t="inlineStr">
        <is>
          <t>GRETA</t>
        </is>
      </c>
      <c r="D382" s="18" t="inlineStr">
        <is>
          <t>VINO</t>
        </is>
      </c>
      <c r="E382" s="19" t="n">
        <v>12</v>
      </c>
      <c r="F382" s="19" t="n">
        <v>0</v>
      </c>
      <c r="G382" s="19">
        <f>E382-F382</f>
        <v/>
      </c>
      <c r="H382" s="35">
        <f>IF(E382&gt;0, F382/E382, 0)</f>
        <v/>
      </c>
      <c r="I382" s="36" t="inlineStr">
        <is>
          <t>Pendiente</t>
        </is>
      </c>
    </row>
    <row r="383" ht="20" customHeight="1">
      <c r="A383" s="10" t="inlineStr">
        <is>
          <t>28/09/2026</t>
        </is>
      </c>
      <c r="B383" s="32" t="n">
        <v>3747</v>
      </c>
      <c r="C383" s="12" t="inlineStr">
        <is>
          <t>MAFER</t>
        </is>
      </c>
      <c r="D383" s="12" t="inlineStr">
        <is>
          <t>MARRON</t>
        </is>
      </c>
      <c r="E383" s="13" t="n">
        <v>12</v>
      </c>
      <c r="F383" s="13" t="n">
        <v>0</v>
      </c>
      <c r="G383" s="13">
        <f>E383-F383</f>
        <v/>
      </c>
      <c r="H383" s="21">
        <f>IF(E383&gt;0, F383/E383, 0)</f>
        <v/>
      </c>
      <c r="I383" s="36" t="inlineStr">
        <is>
          <t>Pendiente</t>
        </is>
      </c>
    </row>
    <row r="384" ht="20" customHeight="1">
      <c r="A384" s="16" t="inlineStr">
        <is>
          <t>28/09/2026</t>
        </is>
      </c>
      <c r="B384" s="34" t="n">
        <v>3746</v>
      </c>
      <c r="C384" s="18" t="inlineStr">
        <is>
          <t>MAFER</t>
        </is>
      </c>
      <c r="D384" s="18" t="inlineStr">
        <is>
          <t>VINO</t>
        </is>
      </c>
      <c r="E384" s="19" t="n">
        <v>12</v>
      </c>
      <c r="F384" s="19" t="n">
        <v>0</v>
      </c>
      <c r="G384" s="19">
        <f>E384-F384</f>
        <v/>
      </c>
      <c r="H384" s="35">
        <f>IF(E384&gt;0, F384/E384, 0)</f>
        <v/>
      </c>
      <c r="I384" s="36" t="inlineStr">
        <is>
          <t>Pendiente</t>
        </is>
      </c>
    </row>
    <row r="385" ht="20" customHeight="1">
      <c r="A385" s="10" t="inlineStr">
        <is>
          <t>28/09/2026</t>
        </is>
      </c>
      <c r="B385" s="32" t="n">
        <v>3741</v>
      </c>
      <c r="C385" s="12" t="inlineStr">
        <is>
          <t>MICAELA</t>
        </is>
      </c>
      <c r="D385" s="12" t="inlineStr">
        <is>
          <t>CELESTE BB</t>
        </is>
      </c>
      <c r="E385" s="13" t="n">
        <v>12</v>
      </c>
      <c r="F385" s="13" t="n">
        <v>0</v>
      </c>
      <c r="G385" s="13">
        <f>E385-F385</f>
        <v/>
      </c>
      <c r="H385" s="21">
        <f>IF(E385&gt;0, F385/E385, 0)</f>
        <v/>
      </c>
      <c r="I385" s="36" t="inlineStr">
        <is>
          <t>Pendiente</t>
        </is>
      </c>
    </row>
    <row r="386" ht="20" customHeight="1">
      <c r="A386" s="16" t="inlineStr">
        <is>
          <t>28/09/2026</t>
        </is>
      </c>
      <c r="B386" s="34" t="n">
        <v>3737</v>
      </c>
      <c r="C386" s="18" t="inlineStr">
        <is>
          <t>MICAELA</t>
        </is>
      </c>
      <c r="D386" s="18" t="inlineStr">
        <is>
          <t>LILA</t>
        </is>
      </c>
      <c r="E386" s="19" t="n">
        <v>12</v>
      </c>
      <c r="F386" s="19" t="n">
        <v>0</v>
      </c>
      <c r="G386" s="19">
        <f>E386-F386</f>
        <v/>
      </c>
      <c r="H386" s="35">
        <f>IF(E386&gt;0, F386/E386, 0)</f>
        <v/>
      </c>
      <c r="I386" s="36" t="inlineStr">
        <is>
          <t>Pendiente</t>
        </is>
      </c>
    </row>
    <row r="387" ht="20" customHeight="1">
      <c r="A387" s="10" t="inlineStr">
        <is>
          <t>28/09/2026</t>
        </is>
      </c>
      <c r="B387" s="32" t="n">
        <v>3742</v>
      </c>
      <c r="C387" s="12" t="inlineStr">
        <is>
          <t>MICAELA</t>
        </is>
      </c>
      <c r="D387" s="12" t="inlineStr">
        <is>
          <t>MANTEQUILLA</t>
        </is>
      </c>
      <c r="E387" s="13" t="n">
        <v>12</v>
      </c>
      <c r="F387" s="13" t="n">
        <v>0</v>
      </c>
      <c r="G387" s="13">
        <f>E387-F387</f>
        <v/>
      </c>
      <c r="H387" s="21">
        <f>IF(E387&gt;0, F387/E387, 0)</f>
        <v/>
      </c>
      <c r="I387" s="36" t="inlineStr">
        <is>
          <t>Pendiente</t>
        </is>
      </c>
    </row>
    <row r="388" ht="20" customHeight="1">
      <c r="A388" s="16" t="inlineStr">
        <is>
          <t>28/09/2026</t>
        </is>
      </c>
      <c r="B388" s="34" t="n">
        <v>3739</v>
      </c>
      <c r="C388" s="18" t="inlineStr">
        <is>
          <t>MICAELA</t>
        </is>
      </c>
      <c r="D388" s="18" t="inlineStr">
        <is>
          <t>MELON</t>
        </is>
      </c>
      <c r="E388" s="19" t="n">
        <v>12</v>
      </c>
      <c r="F388" s="19" t="n">
        <v>0</v>
      </c>
      <c r="G388" s="19">
        <f>E388-F388</f>
        <v/>
      </c>
      <c r="H388" s="35">
        <f>IF(E388&gt;0, F388/E388, 0)</f>
        <v/>
      </c>
      <c r="I388" s="36" t="inlineStr">
        <is>
          <t>Pendiente</t>
        </is>
      </c>
    </row>
    <row r="389" ht="20" customHeight="1">
      <c r="A389" s="10" t="inlineStr">
        <is>
          <t>28/09/2026</t>
        </is>
      </c>
      <c r="B389" s="32" t="n">
        <v>3740</v>
      </c>
      <c r="C389" s="12" t="inlineStr">
        <is>
          <t>MICAELA</t>
        </is>
      </c>
      <c r="D389" s="12" t="inlineStr">
        <is>
          <t>ROSA</t>
        </is>
      </c>
      <c r="E389" s="13" t="n">
        <v>12</v>
      </c>
      <c r="F389" s="13" t="n">
        <v>0</v>
      </c>
      <c r="G389" s="13">
        <f>E389-F389</f>
        <v/>
      </c>
      <c r="H389" s="21">
        <f>IF(E389&gt;0, F389/E389, 0)</f>
        <v/>
      </c>
      <c r="I389" s="36" t="inlineStr">
        <is>
          <t>Pendiente</t>
        </is>
      </c>
    </row>
    <row r="390" ht="20" customHeight="1">
      <c r="A390" s="16" t="inlineStr">
        <is>
          <t>28/09/2026</t>
        </is>
      </c>
      <c r="B390" s="34" t="n">
        <v>3738</v>
      </c>
      <c r="C390" s="18" t="inlineStr">
        <is>
          <t>MICAELA</t>
        </is>
      </c>
      <c r="D390" s="18" t="inlineStr">
        <is>
          <t>VINO</t>
        </is>
      </c>
      <c r="E390" s="19" t="n">
        <v>12</v>
      </c>
      <c r="F390" s="19" t="n">
        <v>0</v>
      </c>
      <c r="G390" s="19">
        <f>E390-F390</f>
        <v/>
      </c>
      <c r="H390" s="35">
        <f>IF(E390&gt;0, F390/E390, 0)</f>
        <v/>
      </c>
      <c r="I390" s="36" t="inlineStr">
        <is>
          <t>Pendiente</t>
        </is>
      </c>
    </row>
    <row r="391" ht="20" customHeight="1">
      <c r="A391" s="10" t="inlineStr">
        <is>
          <t>30/09/2026</t>
        </is>
      </c>
      <c r="B391" s="32" t="n">
        <v>3750</v>
      </c>
      <c r="C391" s="12" t="inlineStr">
        <is>
          <t>DEMI</t>
        </is>
      </c>
      <c r="D391" s="12" t="inlineStr">
        <is>
          <t>NEGRO</t>
        </is>
      </c>
      <c r="E391" s="13" t="n">
        <v>12</v>
      </c>
      <c r="F391" s="13" t="n">
        <v>0</v>
      </c>
      <c r="G391" s="13">
        <f>E391-F391</f>
        <v/>
      </c>
      <c r="H391" s="21">
        <f>IF(E391&gt;0, F391/E391, 0)</f>
        <v/>
      </c>
      <c r="I391" s="36" t="inlineStr">
        <is>
          <t>Pendiente</t>
        </is>
      </c>
    </row>
    <row r="392" ht="20" customHeight="1">
      <c r="A392" s="16" t="inlineStr">
        <is>
          <t>30/09/2026</t>
        </is>
      </c>
      <c r="B392" s="34" t="n">
        <v>3751</v>
      </c>
      <c r="C392" s="18" t="inlineStr">
        <is>
          <t>DEMI</t>
        </is>
      </c>
      <c r="D392" s="18" t="inlineStr">
        <is>
          <t>NEGRO</t>
        </is>
      </c>
      <c r="E392" s="19" t="n">
        <v>12</v>
      </c>
      <c r="F392" s="19" t="n">
        <v>0</v>
      </c>
      <c r="G392" s="19">
        <f>E392-F392</f>
        <v/>
      </c>
      <c r="H392" s="35">
        <f>IF(E392&gt;0, F392/E392, 0)</f>
        <v/>
      </c>
      <c r="I392" s="36" t="inlineStr">
        <is>
          <t>Pendiente</t>
        </is>
      </c>
    </row>
    <row r="393" ht="20" customHeight="1">
      <c r="A393" s="10" t="inlineStr">
        <is>
          <t>30/09/2026</t>
        </is>
      </c>
      <c r="B393" s="32" t="n">
        <v>3752</v>
      </c>
      <c r="C393" s="12" t="inlineStr">
        <is>
          <t>DEMI</t>
        </is>
      </c>
      <c r="D393" s="12" t="inlineStr">
        <is>
          <t>NEGRO</t>
        </is>
      </c>
      <c r="E393" s="13" t="n">
        <v>12</v>
      </c>
      <c r="F393" s="13" t="n">
        <v>0</v>
      </c>
      <c r="G393" s="13">
        <f>E393-F393</f>
        <v/>
      </c>
      <c r="H393" s="21">
        <f>IF(E393&gt;0, F393/E393, 0)</f>
        <v/>
      </c>
      <c r="I393" s="36" t="inlineStr">
        <is>
          <t>Pendiente</t>
        </is>
      </c>
    </row>
    <row r="394" ht="20" customHeight="1">
      <c r="A394" s="16" t="inlineStr">
        <is>
          <t>30/09/2026</t>
        </is>
      </c>
      <c r="B394" s="34" t="n">
        <v>3753</v>
      </c>
      <c r="C394" s="18" t="inlineStr">
        <is>
          <t>DEMI</t>
        </is>
      </c>
      <c r="D394" s="18" t="inlineStr">
        <is>
          <t>NEGRO</t>
        </is>
      </c>
      <c r="E394" s="19" t="n">
        <v>12</v>
      </c>
      <c r="F394" s="19" t="n">
        <v>0</v>
      </c>
      <c r="G394" s="19">
        <f>E394-F394</f>
        <v/>
      </c>
      <c r="H394" s="35">
        <f>IF(E394&gt;0, F394/E394, 0)</f>
        <v/>
      </c>
      <c r="I394" s="36" t="inlineStr">
        <is>
          <t>Pendiente</t>
        </is>
      </c>
    </row>
    <row r="395" ht="20" customHeight="1">
      <c r="A395" s="10" t="inlineStr">
        <is>
          <t>30/09/2026</t>
        </is>
      </c>
      <c r="B395" s="32" t="n">
        <v>3754</v>
      </c>
      <c r="C395" s="12" t="inlineStr">
        <is>
          <t>DEMI</t>
        </is>
      </c>
      <c r="D395" s="12" t="inlineStr">
        <is>
          <t>NEGRO</t>
        </is>
      </c>
      <c r="E395" s="13" t="n">
        <v>12</v>
      </c>
      <c r="F395" s="13" t="n">
        <v>0</v>
      </c>
      <c r="G395" s="13">
        <f>E395-F395</f>
        <v/>
      </c>
      <c r="H395" s="21">
        <f>IF(E395&gt;0, F395/E395, 0)</f>
        <v/>
      </c>
      <c r="I395" s="36" t="inlineStr">
        <is>
          <t>Pendiente</t>
        </is>
      </c>
    </row>
    <row r="396" ht="20" customHeight="1">
      <c r="A396" s="16" t="inlineStr">
        <is>
          <t>30/09/2026</t>
        </is>
      </c>
      <c r="B396" s="34" t="n">
        <v>3755</v>
      </c>
      <c r="C396" s="18" t="inlineStr">
        <is>
          <t>DEMI</t>
        </is>
      </c>
      <c r="D396" s="18" t="inlineStr">
        <is>
          <t>NEGRO</t>
        </is>
      </c>
      <c r="E396" s="19" t="n">
        <v>12</v>
      </c>
      <c r="F396" s="19" t="n">
        <v>0</v>
      </c>
      <c r="G396" s="19">
        <f>E396-F396</f>
        <v/>
      </c>
      <c r="H396" s="35">
        <f>IF(E396&gt;0, F396/E396, 0)</f>
        <v/>
      </c>
      <c r="I396" s="36" t="inlineStr">
        <is>
          <t>Pendiente</t>
        </is>
      </c>
    </row>
    <row r="397" ht="24" customHeight="1">
      <c r="A397" s="24" t="inlineStr">
        <is>
          <t>TOTAL GENERAL</t>
        </is>
      </c>
      <c r="B397" s="25" t="inlineStr"/>
      <c r="C397" s="25" t="inlineStr"/>
      <c r="D397" s="25" t="inlineStr"/>
      <c r="E397" s="26">
        <f>SUM(E5:E396)</f>
        <v/>
      </c>
      <c r="F397" s="26">
        <f>SUM(F5:F396)</f>
        <v/>
      </c>
      <c r="G397" s="27">
        <f>E397-F397</f>
        <v/>
      </c>
      <c r="H397" s="28">
        <f>IF(E397&gt;0, F397/E397, 0)</f>
        <v/>
      </c>
      <c r="I397" s="2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6" customWidth="1" min="4" max="4"/>
    <col width="14" customWidth="1" min="5" max="5"/>
  </cols>
  <sheetData>
    <row r="1" ht="32" customHeight="1">
      <c r="A1" s="1" t="inlineStr">
        <is>
          <t>JOLI JOLI · CONSOLIDADO ACUMULADO POR MODELO</t>
        </is>
      </c>
    </row>
    <row r="2" ht="20" customHeight="1">
      <c r="A2" s="2" t="inlineStr">
        <is>
          <t>Resumen de pares pedidos vs. entregados acumulados por modelo (OP 3354 en adelante)</t>
        </is>
      </c>
    </row>
    <row r="4" ht="26" customHeight="1">
      <c r="A4" s="8" t="inlineStr">
        <is>
          <t>Modelo</t>
        </is>
      </c>
      <c r="B4" s="9" t="inlineStr">
        <is>
          <t>Cantidad pedida</t>
        </is>
      </c>
      <c r="C4" s="9" t="inlineStr">
        <is>
          <t>Cantidad entregada</t>
        </is>
      </c>
      <c r="D4" s="9" t="inlineStr">
        <is>
          <t>Diferencia</t>
        </is>
      </c>
      <c r="E4" s="9" t="inlineStr">
        <is>
          <t>% Avance</t>
        </is>
      </c>
    </row>
    <row r="5" ht="20" customHeight="1">
      <c r="A5" s="11" t="inlineStr">
        <is>
          <t>MICAELA</t>
        </is>
      </c>
      <c r="B5" s="13" t="n">
        <v>648</v>
      </c>
      <c r="C5" s="14" t="n">
        <v>145</v>
      </c>
      <c r="D5" s="13">
        <f>B5-C5</f>
        <v/>
      </c>
      <c r="E5" s="21">
        <f>IF(B5&gt;0, C5/B5, 0)</f>
        <v/>
      </c>
    </row>
    <row r="6" ht="20" customHeight="1">
      <c r="A6" s="17" t="inlineStr">
        <is>
          <t>MAFER</t>
        </is>
      </c>
      <c r="B6" s="19" t="n">
        <v>504</v>
      </c>
      <c r="C6" s="20" t="n">
        <v>313</v>
      </c>
      <c r="D6" s="19">
        <f>B6-C6</f>
        <v/>
      </c>
      <c r="E6" s="21">
        <f>IF(B6&gt;0, C6/B6, 0)</f>
        <v/>
      </c>
    </row>
    <row r="7" ht="20" customHeight="1">
      <c r="A7" s="11" t="inlineStr">
        <is>
          <t>ZOE</t>
        </is>
      </c>
      <c r="B7" s="13" t="n">
        <v>371</v>
      </c>
      <c r="C7" s="14" t="n">
        <v>298</v>
      </c>
      <c r="D7" s="13">
        <f>B7-C7</f>
        <v/>
      </c>
      <c r="E7" s="21">
        <f>IF(B7&gt;0, C7/B7, 0)</f>
        <v/>
      </c>
    </row>
    <row r="8" ht="20" customHeight="1">
      <c r="A8" s="17" t="inlineStr">
        <is>
          <t>FABIANA</t>
        </is>
      </c>
      <c r="B8" s="19" t="n">
        <v>252</v>
      </c>
      <c r="C8" s="20" t="n">
        <v>165</v>
      </c>
      <c r="D8" s="19">
        <f>B8-C8</f>
        <v/>
      </c>
      <c r="E8" s="21">
        <f>IF(B8&gt;0, C8/B8, 0)</f>
        <v/>
      </c>
    </row>
    <row r="9" ht="20" customHeight="1">
      <c r="A9" s="11" t="inlineStr">
        <is>
          <t>REBECA</t>
        </is>
      </c>
      <c r="B9" s="13" t="n">
        <v>240</v>
      </c>
      <c r="C9" s="14" t="n">
        <v>232</v>
      </c>
      <c r="D9" s="13">
        <f>B9-C9</f>
        <v/>
      </c>
      <c r="E9" s="21">
        <f>IF(B9&gt;0, C9/B9, 0)</f>
        <v/>
      </c>
    </row>
    <row r="10" ht="20" customHeight="1">
      <c r="A10" s="17" t="inlineStr">
        <is>
          <t>GRETA</t>
        </is>
      </c>
      <c r="B10" s="19" t="n">
        <v>204</v>
      </c>
      <c r="C10" s="20" t="n">
        <v>139</v>
      </c>
      <c r="D10" s="19">
        <f>B10-C10</f>
        <v/>
      </c>
      <c r="E10" s="21">
        <f>IF(B10&gt;0, C10/B10, 0)</f>
        <v/>
      </c>
    </row>
    <row r="11" ht="20" customHeight="1">
      <c r="A11" s="11" t="inlineStr">
        <is>
          <t>ABRIL</t>
        </is>
      </c>
      <c r="B11" s="13" t="n">
        <v>180</v>
      </c>
      <c r="C11" s="14" t="n">
        <v>115</v>
      </c>
      <c r="D11" s="13">
        <f>B11-C11</f>
        <v/>
      </c>
      <c r="E11" s="21">
        <f>IF(B11&gt;0, C11/B11, 0)</f>
        <v/>
      </c>
    </row>
    <row r="12" ht="20" customHeight="1">
      <c r="A12" s="17" t="inlineStr">
        <is>
          <t>ANTONELLA</t>
        </is>
      </c>
      <c r="B12" s="19" t="n">
        <v>180</v>
      </c>
      <c r="C12" s="20" t="n">
        <v>157</v>
      </c>
      <c r="D12" s="19">
        <f>B12-C12</f>
        <v/>
      </c>
      <c r="E12" s="21">
        <f>IF(B12&gt;0, C12/B12, 0)</f>
        <v/>
      </c>
    </row>
    <row r="13" ht="20" customHeight="1">
      <c r="A13" s="11" t="inlineStr">
        <is>
          <t>CANDELA</t>
        </is>
      </c>
      <c r="B13" s="13" t="n">
        <v>180</v>
      </c>
      <c r="C13" s="14" t="n">
        <v>169</v>
      </c>
      <c r="D13" s="13">
        <f>B13-C13</f>
        <v/>
      </c>
      <c r="E13" s="21">
        <f>IF(B13&gt;0, C13/B13, 0)</f>
        <v/>
      </c>
    </row>
    <row r="14" ht="20" customHeight="1">
      <c r="A14" s="17" t="inlineStr">
        <is>
          <t>CARLOTA</t>
        </is>
      </c>
      <c r="B14" s="19" t="n">
        <v>180</v>
      </c>
      <c r="C14" s="20" t="n">
        <v>57</v>
      </c>
      <c r="D14" s="19">
        <f>B14-C14</f>
        <v/>
      </c>
      <c r="E14" s="21">
        <f>IF(B14&gt;0, C14/B14, 0)</f>
        <v/>
      </c>
    </row>
    <row r="15" ht="20" customHeight="1">
      <c r="A15" s="11" t="inlineStr">
        <is>
          <t>FLAVIA</t>
        </is>
      </c>
      <c r="B15" s="13" t="n">
        <v>180</v>
      </c>
      <c r="C15" s="22" t="n">
        <v>0</v>
      </c>
      <c r="D15" s="13">
        <f>B15-C15</f>
        <v/>
      </c>
      <c r="E15" s="21">
        <f>IF(B15&gt;0, C15/B15, 0)</f>
        <v/>
      </c>
    </row>
    <row r="16" ht="20" customHeight="1">
      <c r="A16" s="17" t="inlineStr">
        <is>
          <t>GRISSEL</t>
        </is>
      </c>
      <c r="B16" s="19" t="n">
        <v>180</v>
      </c>
      <c r="C16" s="23" t="n">
        <v>0</v>
      </c>
      <c r="D16" s="19">
        <f>B16-C16</f>
        <v/>
      </c>
      <c r="E16" s="21">
        <f>IF(B16&gt;0, C16/B16, 0)</f>
        <v/>
      </c>
    </row>
    <row r="17" ht="20" customHeight="1">
      <c r="A17" s="11" t="inlineStr">
        <is>
          <t>INES</t>
        </is>
      </c>
      <c r="B17" s="13" t="n">
        <v>180</v>
      </c>
      <c r="C17" s="14" t="n">
        <v>121</v>
      </c>
      <c r="D17" s="13">
        <f>B17-C17</f>
        <v/>
      </c>
      <c r="E17" s="21">
        <f>IF(B17&gt;0, C17/B17, 0)</f>
        <v/>
      </c>
    </row>
    <row r="18" ht="20" customHeight="1">
      <c r="A18" s="17" t="inlineStr">
        <is>
          <t>LORENA</t>
        </is>
      </c>
      <c r="B18" s="19" t="n">
        <v>180</v>
      </c>
      <c r="C18" s="23" t="n">
        <v>0</v>
      </c>
      <c r="D18" s="19">
        <f>B18-C18</f>
        <v/>
      </c>
      <c r="E18" s="21">
        <f>IF(B18&gt;0, C18/B18, 0)</f>
        <v/>
      </c>
    </row>
    <row r="19" ht="20" customHeight="1">
      <c r="A19" s="11" t="inlineStr">
        <is>
          <t>LUISA</t>
        </is>
      </c>
      <c r="B19" s="13" t="n">
        <v>180</v>
      </c>
      <c r="C19" s="14" t="n">
        <v>171</v>
      </c>
      <c r="D19" s="13">
        <f>B19-C19</f>
        <v/>
      </c>
      <c r="E19" s="21">
        <f>IF(B19&gt;0, C19/B19, 0)</f>
        <v/>
      </c>
    </row>
    <row r="20" ht="20" customHeight="1">
      <c r="A20" s="17" t="inlineStr">
        <is>
          <t>NATALIA</t>
        </is>
      </c>
      <c r="B20" s="19" t="n">
        <v>180</v>
      </c>
      <c r="C20" s="23" t="n">
        <v>0</v>
      </c>
      <c r="D20" s="19">
        <f>B20-C20</f>
        <v/>
      </c>
      <c r="E20" s="21">
        <f>IF(B20&gt;0, C20/B20, 0)</f>
        <v/>
      </c>
    </row>
    <row r="21" ht="20" customHeight="1">
      <c r="A21" s="11" t="inlineStr">
        <is>
          <t>SIENNA</t>
        </is>
      </c>
      <c r="B21" s="13" t="n">
        <v>180</v>
      </c>
      <c r="C21" s="14" t="n">
        <v>160</v>
      </c>
      <c r="D21" s="13">
        <f>B21-C21</f>
        <v/>
      </c>
      <c r="E21" s="21">
        <f>IF(B21&gt;0, C21/B21, 0)</f>
        <v/>
      </c>
    </row>
    <row r="22" ht="20" customHeight="1">
      <c r="A22" s="17" t="inlineStr">
        <is>
          <t>JULIETA</t>
        </is>
      </c>
      <c r="B22" s="19" t="n">
        <v>144</v>
      </c>
      <c r="C22" s="20" t="n">
        <v>94</v>
      </c>
      <c r="D22" s="19">
        <f>B22-C22</f>
        <v/>
      </c>
      <c r="E22" s="21">
        <f>IF(B22&gt;0, C22/B22, 0)</f>
        <v/>
      </c>
    </row>
    <row r="23" ht="20" customHeight="1">
      <c r="A23" s="11" t="inlineStr">
        <is>
          <t>CRISTINA</t>
        </is>
      </c>
      <c r="B23" s="13" t="n">
        <v>126</v>
      </c>
      <c r="C23" s="14" t="n">
        <v>83</v>
      </c>
      <c r="D23" s="13">
        <f>B23-C23</f>
        <v/>
      </c>
      <c r="E23" s="21">
        <f>IF(B23&gt;0, C23/B23, 0)</f>
        <v/>
      </c>
    </row>
    <row r="24" ht="20" customHeight="1">
      <c r="A24" s="17" t="inlineStr">
        <is>
          <t>ALESSIA</t>
        </is>
      </c>
      <c r="B24" s="19" t="n">
        <v>120</v>
      </c>
      <c r="C24" s="23" t="n">
        <v>0</v>
      </c>
      <c r="D24" s="19">
        <f>B24-C24</f>
        <v/>
      </c>
      <c r="E24" s="21">
        <f>IF(B24&gt;0, C24/B24, 0)</f>
        <v/>
      </c>
    </row>
    <row r="25" ht="20" customHeight="1">
      <c r="A25" s="11" t="inlineStr">
        <is>
          <t>DEMI</t>
        </is>
      </c>
      <c r="B25" s="13" t="n">
        <v>72</v>
      </c>
      <c r="C25" s="22" t="n">
        <v>0</v>
      </c>
      <c r="D25" s="13">
        <f>B25-C25</f>
        <v/>
      </c>
      <c r="E25" s="21">
        <f>IF(B25&gt;0, C25/B25, 0)</f>
        <v/>
      </c>
    </row>
    <row r="26" ht="20" customHeight="1">
      <c r="A26" s="17" t="inlineStr">
        <is>
          <t>MILUSKA</t>
        </is>
      </c>
      <c r="B26" s="19" t="n">
        <v>36</v>
      </c>
      <c r="C26" s="20" t="n">
        <v>32</v>
      </c>
      <c r="D26" s="19">
        <f>B26-C26</f>
        <v/>
      </c>
      <c r="E26" s="21">
        <f>IF(B26&gt;0, C26/B26, 0)</f>
        <v/>
      </c>
    </row>
    <row r="27" ht="24" customHeight="1">
      <c r="A27" s="37" t="inlineStr">
        <is>
          <t>TOTAL GENERAL</t>
        </is>
      </c>
      <c r="B27" s="26">
        <f>SUM(B5:B26)</f>
        <v/>
      </c>
      <c r="C27" s="26">
        <f>SUM(C5:C26)</f>
        <v/>
      </c>
      <c r="D27" s="27">
        <f>B27-C27</f>
        <v/>
      </c>
      <c r="E27" s="28">
        <f>IF(B27&gt;0, C27/B27, 0)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2026-09-30T19:46:28Z</dcterms:created>
  <dcterms:modified xmlns:dcterms="http://purl.org/dc/terms/" xmlns:xsi="http://www.w3.org/2001/XMLSchema-instance" xsi:type="dcterms:W3CDTF">2026-09-30T19:46:28Z</dcterms:modified>
</cp:coreProperties>
</file>